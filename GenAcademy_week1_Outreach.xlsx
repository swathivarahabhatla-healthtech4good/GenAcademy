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https://bcbsma-my.sharepoint.com/personal/svarah01_bcbsmamd_net/Documents/Desktop/AI_Demos/PromptingPro/"/>
    </mc:Choice>
  </mc:AlternateContent>
  <xr:revisionPtr revIDLastSave="10" documentId="8_{8EFFD1BB-7BB1-4083-929C-FDED10276A56}" xr6:coauthVersionLast="47" xr6:coauthVersionMax="47" xr10:uidLastSave="{F1657A9F-BBB0-4EC2-9298-056BBB2698F0}"/>
  <bookViews>
    <workbookView xWindow="19090" yWindow="-110" windowWidth="19420" windowHeight="11500" activeTab="1" xr2:uid="{00000000-000D-0000-FFFF-FFFF00000000}"/>
  </bookViews>
  <sheets>
    <sheet name="Project schedule" sheetId="11" r:id="rId1"/>
    <sheet name="Definition" sheetId="17" r:id="rId2"/>
    <sheet name="2024Visual" sheetId="16" r:id="rId3"/>
  </sheets>
  <definedNames>
    <definedName name="_xlnm._FilterDatabase" localSheetId="0" hidden="1">'Project schedule'!$A$4:$P$10</definedName>
    <definedName name="Display_Week">'Project schedule'!#REF!</definedName>
    <definedName name="_xlnm.Print_Titles" localSheetId="0">'Project schedule'!$3:$4</definedName>
    <definedName name="Project_Start">'Project schedule'!#REF!</definedName>
    <definedName name="task_end" localSheetId="0">'Project schedule'!$D1</definedName>
    <definedName name="task_progress" localSheetId="0">'Project schedule'!#REF!</definedName>
    <definedName name="task_start" localSheetId="0">'Project schedule'!$C1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5" i="11" l="1"/>
  <c r="I44" i="11"/>
  <c r="K44" i="11" s="1"/>
  <c r="L50" i="11"/>
  <c r="L51" i="11"/>
  <c r="L49" i="11"/>
  <c r="I51" i="11"/>
  <c r="K51" i="11" s="1"/>
  <c r="L48" i="11"/>
  <c r="L40" i="11"/>
  <c r="I49" i="11"/>
  <c r="K49" i="11" s="1"/>
  <c r="I50" i="11"/>
  <c r="K50" i="11" s="1"/>
  <c r="I48" i="11"/>
  <c r="K48" i="11" s="1"/>
  <c r="L47" i="11"/>
  <c r="L31" i="11"/>
  <c r="L44" i="11"/>
  <c r="I42" i="11"/>
  <c r="K42" i="11" s="1"/>
  <c r="I43" i="11"/>
  <c r="K43" i="11" s="1"/>
  <c r="I41" i="11"/>
  <c r="K41" i="11" s="1"/>
  <c r="I40" i="11"/>
  <c r="K40" i="11" s="1"/>
  <c r="L45" i="11"/>
  <c r="O47" i="11"/>
  <c r="I47" i="11"/>
  <c r="K47" i="11" s="1"/>
  <c r="I27" i="11"/>
  <c r="K27" i="11" s="1"/>
  <c r="L32" i="11"/>
  <c r="L33" i="11"/>
  <c r="I32" i="11"/>
  <c r="K32" i="11" s="1"/>
  <c r="L37" i="11"/>
  <c r="L36" i="11"/>
  <c r="L35" i="11"/>
  <c r="L34" i="11"/>
  <c r="L26" i="11"/>
  <c r="L18" i="11"/>
  <c r="L24" i="11"/>
  <c r="I37" i="11"/>
  <c r="K37" i="11" s="1"/>
  <c r="I36" i="11"/>
  <c r="K36" i="11" s="1"/>
  <c r="I35" i="11"/>
  <c r="K35" i="11" s="1"/>
  <c r="I34" i="11"/>
  <c r="K34" i="11" s="1"/>
  <c r="I31" i="11"/>
  <c r="K31" i="11" s="1"/>
  <c r="E51" i="11" a="1"/>
  <c r="E51" i="11" s="1"/>
  <c r="O31" i="11"/>
  <c r="I29" i="11"/>
  <c r="K29" i="11" s="1"/>
  <c r="E44" i="11" a="1"/>
  <c r="E44" i="11" s="1"/>
  <c r="E36" i="11" a="1"/>
  <c r="E36" i="11" s="1"/>
  <c r="E35" i="11" a="1"/>
  <c r="E35" i="11" s="1"/>
  <c r="I33" i="11"/>
  <c r="K33" i="11" s="1"/>
  <c r="I26" i="11"/>
  <c r="K26" i="11" s="1"/>
  <c r="I25" i="11"/>
  <c r="K25" i="11" s="1"/>
  <c r="I24" i="11"/>
  <c r="K24" i="11" s="1"/>
  <c r="L22" i="11"/>
  <c r="I22" i="11"/>
  <c r="K22" i="11" s="1"/>
  <c r="L21" i="11"/>
  <c r="I21" i="11"/>
  <c r="K21" i="11" s="1"/>
  <c r="L20" i="11"/>
  <c r="I20" i="11"/>
  <c r="K20" i="11" s="1"/>
  <c r="L19" i="11"/>
  <c r="I19" i="11"/>
  <c r="K19" i="11" s="1"/>
  <c r="O18" i="11"/>
  <c r="N18" i="11"/>
  <c r="I18" i="11"/>
  <c r="K18" i="11" s="1"/>
  <c r="I5" i="11"/>
  <c r="K5" i="11" s="1"/>
  <c r="E50" i="11" a="1"/>
  <c r="E50" i="11" s="1"/>
  <c r="E49" i="11" a="1"/>
  <c r="E49" i="11" s="1"/>
  <c r="E48" i="11" a="1"/>
  <c r="E48" i="11" s="1"/>
  <c r="E47" i="11" a="1"/>
  <c r="E47" i="11" s="1"/>
  <c r="E43" i="11" a="1"/>
  <c r="E43" i="11" s="1"/>
  <c r="K45" i="11"/>
  <c r="E45" i="11" a="1"/>
  <c r="E45" i="11" s="1"/>
  <c r="L43" i="11"/>
  <c r="L42" i="11"/>
  <c r="E42" i="11" a="1"/>
  <c r="E42" i="11" s="1"/>
  <c r="L41" i="11"/>
  <c r="E41" i="11" a="1"/>
  <c r="E41" i="11" s="1"/>
  <c r="E40" i="11" a="1"/>
  <c r="E40" i="11" s="1"/>
  <c r="O39" i="11"/>
  <c r="L39" i="11"/>
  <c r="I39" i="11"/>
  <c r="K39" i="11" s="1"/>
  <c r="E39" i="11" a="1"/>
  <c r="E39" i="11" s="1"/>
  <c r="E37" i="11" a="1"/>
  <c r="E37" i="11" s="1"/>
  <c r="E34" i="11" a="1"/>
  <c r="E34" i="11" s="1"/>
  <c r="E33" i="11" a="1"/>
  <c r="E33" i="11" s="1"/>
  <c r="E32" i="11" a="1"/>
  <c r="E32" i="11" s="1"/>
  <c r="E31" i="11" a="1"/>
  <c r="E31" i="11" s="1"/>
  <c r="I16" i="11"/>
  <c r="K16" i="11" s="1"/>
  <c r="E29" i="11" a="1"/>
  <c r="E29" i="11" s="1"/>
  <c r="L27" i="11"/>
  <c r="E27" i="11" a="1"/>
  <c r="E27" i="11" s="1"/>
  <c r="E26" i="11" a="1"/>
  <c r="E26" i="11" s="1"/>
  <c r="E25" i="11" a="1"/>
  <c r="E25" i="11" s="1"/>
  <c r="E24" i="11" a="1"/>
  <c r="E24" i="11" s="1"/>
  <c r="L5" i="11"/>
  <c r="I11" i="11"/>
  <c r="K11" i="11" s="1"/>
  <c r="L15" i="11"/>
  <c r="L14" i="11"/>
  <c r="L13" i="11"/>
  <c r="L12" i="11"/>
  <c r="E22" i="11" a="1"/>
  <c r="E22" i="11" s="1"/>
  <c r="E21" i="11" a="1"/>
  <c r="E21" i="11" s="1"/>
  <c r="E20" i="11" a="1"/>
  <c r="E20" i="11" s="1"/>
  <c r="E19" i="11" a="1"/>
  <c r="E19" i="11" s="1"/>
  <c r="L9" i="11"/>
  <c r="I9" i="11"/>
  <c r="K9" i="11" s="1"/>
  <c r="E18" i="11" a="1"/>
  <c r="E18" i="11" s="1"/>
  <c r="I14" i="11"/>
  <c r="K14" i="11" s="1"/>
  <c r="I15" i="11"/>
  <c r="K15" i="11" s="1"/>
  <c r="I13" i="11"/>
  <c r="K13" i="11" s="1"/>
  <c r="I12" i="11"/>
  <c r="K12" i="11" s="1"/>
  <c r="L7" i="11"/>
  <c r="L6" i="11"/>
  <c r="L8" i="11"/>
  <c r="I6" i="11"/>
  <c r="K6" i="11" s="1"/>
  <c r="L11" i="11"/>
  <c r="O11" i="11"/>
  <c r="N11" i="11"/>
  <c r="E12" i="11" a="1"/>
  <c r="E12" i="11" s="1"/>
  <c r="E6" i="11" a="1"/>
  <c r="E6" i="11" s="1"/>
  <c r="E13" i="11" a="1"/>
  <c r="E13" i="11" s="1"/>
  <c r="E16" i="11" a="1"/>
  <c r="E16" i="11" s="1"/>
  <c r="E15" i="11" a="1"/>
  <c r="E15" i="11" s="1"/>
  <c r="I7" i="11"/>
  <c r="K7" i="11" s="1"/>
  <c r="I8" i="11"/>
  <c r="K8" i="11" s="1"/>
  <c r="O5" i="11"/>
  <c r="E14" i="11" a="1"/>
  <c r="E14" i="11" s="1"/>
  <c r="E11" i="11" a="1"/>
  <c r="E11" i="11" s="1"/>
  <c r="E5" i="11" a="1"/>
  <c r="E5" i="11" s="1"/>
  <c r="N5" i="11"/>
  <c r="E9" i="11" a="1"/>
  <c r="E9" i="11" s="1"/>
  <c r="E8" i="11" a="1"/>
  <c r="E8" i="11" s="1"/>
  <c r="B7" i="17"/>
  <c r="B6" i="17"/>
  <c r="E7" i="11" a="1"/>
  <c r="E7" i="11" s="1"/>
  <c r="L19" i="16"/>
  <c r="L10" i="16"/>
  <c r="J25" i="16"/>
  <c r="J26" i="16"/>
  <c r="J24" i="16"/>
  <c r="J16" i="16"/>
  <c r="K26" i="16"/>
  <c r="I26" i="16"/>
  <c r="K25" i="16"/>
  <c r="I25" i="16"/>
  <c r="K24" i="16"/>
  <c r="I24" i="16"/>
  <c r="F17" i="16"/>
  <c r="J17" i="16"/>
  <c r="I17" i="16"/>
  <c r="I18" i="16"/>
  <c r="I16" i="16"/>
  <c r="K18" i="16"/>
  <c r="K17" i="16"/>
  <c r="K16" i="16"/>
  <c r="J18" i="16"/>
  <c r="L29" i="1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<sst xmlns="http://schemas.openxmlformats.org/spreadsheetml/2006/main" count="330" uniqueCount="104">
  <si>
    <t>Survey Outreach Effort</t>
  </si>
  <si>
    <t>SurveyType</t>
  </si>
  <si>
    <t>TASK</t>
  </si>
  <si>
    <t>START</t>
  </si>
  <si>
    <t>END</t>
  </si>
  <si>
    <t>DURATION
(workdays)</t>
  </si>
  <si>
    <t>Target Outreach</t>
  </si>
  <si>
    <t>Attempted Outreach</t>
  </si>
  <si>
    <t>Outreach fail</t>
  </si>
  <si>
    <t>Actual Outreach</t>
  </si>
  <si>
    <t>Actual responses</t>
  </si>
  <si>
    <t xml:space="preserve"> Outreach Rate- KPI1</t>
  </si>
  <si>
    <t>Response Rate-KPI2</t>
  </si>
  <si>
    <t>Bulk
Close</t>
  </si>
  <si>
    <t>Bulk
Close Rate-KPI3</t>
  </si>
  <si>
    <t>Callogix Completion Rate</t>
  </si>
  <si>
    <t>Cost</t>
  </si>
  <si>
    <t>Facility/Group</t>
  </si>
  <si>
    <t>FAC&amp;GRP_Jan2025</t>
  </si>
  <si>
    <t>Email Campaign</t>
  </si>
  <si>
    <t xml:space="preserve"> -</t>
  </si>
  <si>
    <t>Custom Emails</t>
  </si>
  <si>
    <t>Callogix_Effort</t>
  </si>
  <si>
    <t>Letter Campaign</t>
  </si>
  <si>
    <t>Campaign Close</t>
  </si>
  <si>
    <t>Medical</t>
  </si>
  <si>
    <t>Dental</t>
  </si>
  <si>
    <t>Dental_Mar2025</t>
  </si>
  <si>
    <t xml:space="preserve"> - </t>
  </si>
  <si>
    <t>Dental Team Effort</t>
  </si>
  <si>
    <t>55</t>
  </si>
  <si>
    <t>FAC&amp;GRP_Apr2025</t>
  </si>
  <si>
    <t>9886</t>
  </si>
  <si>
    <t>7296</t>
  </si>
  <si>
    <t>-</t>
  </si>
  <si>
    <t>284</t>
  </si>
  <si>
    <t>3739</t>
  </si>
  <si>
    <t>532</t>
  </si>
  <si>
    <t>Dental_Jun2025</t>
  </si>
  <si>
    <t>4922</t>
  </si>
  <si>
    <t>3953</t>
  </si>
  <si>
    <t>353</t>
  </si>
  <si>
    <t>331</t>
  </si>
  <si>
    <t>616</t>
  </si>
  <si>
    <t>FAC&amp;GRP_Aug2025</t>
  </si>
  <si>
    <t>10099</t>
  </si>
  <si>
    <t>7389</t>
  </si>
  <si>
    <t>281</t>
  </si>
  <si>
    <t>3100</t>
  </si>
  <si>
    <t>UB Email Campaign</t>
  </si>
  <si>
    <t>1046</t>
  </si>
  <si>
    <t xml:space="preserve">Group Email Campaign </t>
  </si>
  <si>
    <t>568</t>
  </si>
  <si>
    <t>426</t>
  </si>
  <si>
    <t>Dental_Oct2025</t>
  </si>
  <si>
    <t>4889</t>
  </si>
  <si>
    <t>4248</t>
  </si>
  <si>
    <t>376</t>
  </si>
  <si>
    <t>267</t>
  </si>
  <si>
    <t>39</t>
  </si>
  <si>
    <t>FAC&amp;GRP_Nov2025 (December)</t>
  </si>
  <si>
    <t>10012</t>
  </si>
  <si>
    <t>Term</t>
  </si>
  <si>
    <t>Description</t>
  </si>
  <si>
    <t>Details on Derivations</t>
  </si>
  <si>
    <t>Target outreach is ideally every survey that has been systemically identified so in 2025 onwards we would like to report the number of records generated in the systemically generated seed file or the survey input file. Calendar year 2024 however we were counting the number of records present in the actual loaded seed file or the survey input file loaded by the business team after excluding the bad data however going forward as per nancy's suggestion we would like to keep a close eye on any bad data that has been dropped because of various reasons like genuinely bad data multiple Billings windows are open inventory</t>
  </si>
  <si>
    <t># of records from seed file or survey inut file from folder: Systemgenerated</t>
  </si>
  <si>
    <t>Target outreach  minus bad data (data dropped by business team intentionally)</t>
  </si>
  <si>
    <t># of records from seed file or survey inut file from folder: PO Generated</t>
  </si>
  <si>
    <t>Number of surveys for which we could not reach out to the corresponding person Please note this number should only reflect those providers to whom we cannot outreach at all through any of this following channels emails or through call logics or through letters for example if car logics could not reach out but we were able to send a letter then it is considered outreach success</t>
  </si>
  <si>
    <t>equals the outreach fail for the last channel used to outreach(usually letters??)</t>
  </si>
  <si>
    <t>Outreach fail (Callogix)</t>
  </si>
  <si>
    <t>Number of surveys for which Callogix was unable to reach out to the corresponding person.</t>
  </si>
  <si>
    <t>equals # of No voicemail option + Phone not in service/wrong number + select Other outcomes on Callogix NUB list</t>
  </si>
  <si>
    <t>equals Attempted Outreach minus Outreach fail</t>
  </si>
  <si>
    <t>Actual Outreach/Target Outreach</t>
  </si>
  <si>
    <t>Actual Responses/Actual Outreach</t>
  </si>
  <si>
    <t>Bulk Close</t>
  </si>
  <si>
    <t># of surveys eligible for bulk closure. Until R48 goes live this can be derived from Kirk's file</t>
  </si>
  <si>
    <t>Refert o latest response file for any given campaign - Fro example  P:\PCA\Directory Team\CAA_90DaySurveys\Professional\Professional_Nov2024\POGenerated\BulkInventoryAnalysis</t>
  </si>
  <si>
    <t>Bulk Close/Actual responses</t>
  </si>
  <si>
    <t>callogix outreach rate</t>
  </si>
  <si>
    <t>Rate of outreach being worked by callogix each campaign.</t>
  </si>
  <si>
    <t>callogix effort/attempted outreach</t>
  </si>
  <si>
    <t>Rate of responses gathered from Callogix outreach.</t>
  </si>
  <si>
    <t>Response file compared against Callogix effort</t>
  </si>
  <si>
    <t>Based on March 2024 statement we understand callogix staffs 0.13 hour per call and charges $27.5/hr. Hence cost per call is
Callogix had (5988 outbound with average of 1:43 and 286 inbound calls with 4:02 average time)
Cost per call =$3.58 and cost per letter = $1.25</t>
  </si>
  <si>
    <t>Outreach by calls*3.58+outreach by letters*1.25</t>
  </si>
  <si>
    <t>Provider Directory Validation for 2024Q1</t>
  </si>
  <si>
    <t>Survey_Type</t>
  </si>
  <si>
    <t>Initial Identified Outreach</t>
  </si>
  <si>
    <t>Facility_Group</t>
  </si>
  <si>
    <t>dental</t>
  </si>
  <si>
    <t>Provider Directory Validation for 2024Q2</t>
  </si>
  <si>
    <t>Add hyperlink link for known limitations</t>
  </si>
  <si>
    <t>Facility_Group_Apr</t>
  </si>
  <si>
    <t>Medical_May</t>
  </si>
  <si>
    <t>dental_June</t>
  </si>
  <si>
    <t>Provider Directory Validation for 2024Q3</t>
  </si>
  <si>
    <t>Facility_Group_Jul</t>
  </si>
  <si>
    <t>Medical_Aug</t>
  </si>
  <si>
    <t>dental_Sep</t>
  </si>
  <si>
    <t>Phone Outreach Rate</t>
  </si>
  <si>
    <t>Phone Completion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</si>
</sst>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6" formatCode="&quot;$&quot;#,##0_);[Red]\(&quot;$&quot;#,##0\)"/>
    <numFmt numFmtId="8" formatCode="&quot;$&quot;#,##0.00_);[Red]\(&quot;$&quot;#,##0.00\)"/>
    <numFmt numFmtId="44" formatCode="_(&quot;$&quot;* #,##0.00_);_(&quot;$&quot;* \(#,##0.00\);_(&quot;$&quot;* &quot;-&quot;??_);_(@_)"/>
    <numFmt numFmtId="43" formatCode="_(* #,##0.00_);_(* \(#,##0.00\);_(* &quot;-&quot;??_);_(@_)"/>
    <numFmt numFmtId="164" formatCode="m/d/yy;@"/>
    <numFmt numFmtId="165" formatCode="ddd\,\ m/d/yyyy"/>
    <numFmt numFmtId="166" formatCode="_(* #,##0_);_(* \(#,##0\);_(* &quot;-&quot;??_);_(@_)"/>
    <numFmt numFmtId="167" formatCode="_(&quot;$&quot;* #,##0_);_(&quot;$&quot;* \(#,##0\);_(&quot;$&quot;* &quot;-&quot;??_);_(@_)"/>
    <numFmt numFmtId="168" formatCode="0.0%"/>
    <numFmt numFmtId="169" formatCode="&quot;$&quot;#,##0"/>
  </numFmts>
  <fonts count="19" x14ac:knownFonts="1">
    <font>
      <sz val="11"/>
      <color theme="1"/>
      <name val="Arial"/>
      <family val="2"/>
      <scheme val="minor"/>
    </font>
    <font>
      <sz val="10"/>
      <name val="Arial"/>
      <family val="2"/>
      <scheme val="minor"/>
    </font>
    <font>
      <u/>
      <sz val="11"/>
      <color indexed="12"/>
      <name val="Arial"/>
      <family val="2"/>
    </font>
    <font>
      <sz val="11"/>
      <color theme="1"/>
      <name val="Arial"/>
      <family val="2"/>
      <scheme val="minor"/>
    </font>
    <font>
      <sz val="14"/>
      <color theme="1"/>
      <name val="Arial"/>
      <family val="2"/>
      <scheme val="minor"/>
    </font>
    <font>
      <b/>
      <sz val="22"/>
      <color theme="1" tint="0.34998626667073579"/>
      <name val="Arial Black"/>
      <family val="2"/>
      <scheme val="major"/>
    </font>
    <font>
      <b/>
      <sz val="10"/>
      <name val="Arial"/>
      <family val="2"/>
      <scheme val="minor"/>
    </font>
    <font>
      <sz val="11"/>
      <color theme="0"/>
      <name val="Arial"/>
      <family val="2"/>
      <scheme val="minor"/>
    </font>
    <font>
      <sz val="10"/>
      <name val="Arial"/>
      <family val="2"/>
    </font>
    <font>
      <sz val="11"/>
      <color theme="1"/>
      <name val="Arial"/>
      <family val="2"/>
    </font>
    <font>
      <sz val="10"/>
      <color theme="1"/>
      <name val="Arial"/>
      <family val="2"/>
      <scheme val="minor"/>
    </font>
    <font>
      <b/>
      <sz val="10"/>
      <color theme="1"/>
      <name val="Arial"/>
      <family val="2"/>
      <scheme val="minor"/>
    </font>
    <font>
      <b/>
      <sz val="12"/>
      <color theme="1"/>
      <name val="Arial"/>
      <family val="2"/>
      <scheme val="minor"/>
    </font>
    <font>
      <b/>
      <sz val="16"/>
      <color theme="9"/>
      <name val="Arial"/>
      <family val="2"/>
      <scheme val="minor"/>
    </font>
    <font>
      <b/>
      <sz val="28"/>
      <color theme="9"/>
      <name val="Arial Black"/>
      <family val="2"/>
      <scheme val="major"/>
    </font>
    <font>
      <b/>
      <sz val="11"/>
      <color theme="1"/>
      <name val="Arial"/>
      <family val="2"/>
      <scheme val="minor"/>
    </font>
    <font>
      <b/>
      <sz val="14"/>
      <color theme="1"/>
      <name val="Arial"/>
      <family val="2"/>
      <scheme val="minor"/>
    </font>
    <font>
      <sz val="11"/>
      <color theme="1"/>
      <name val="Aptos"/>
      <family val="2"/>
    </font>
    <font>
      <sz val="10"/>
      <color theme="1"/>
      <name val="Arial"/>
      <family val="2"/>
    </font>
  </fonts>
  <fills count="10">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0" tint="-4.9989318521683403E-2"/>
        <bgColor theme="4"/>
      </patternFill>
    </fill>
    <fill>
      <patternFill patternType="solid">
        <fgColor theme="4" tint="0.59999389629810485"/>
        <bgColor indexed="64"/>
      </patternFill>
    </fill>
    <fill>
      <patternFill patternType="solid">
        <fgColor theme="6" tint="0.59996337778862885"/>
        <bgColor indexed="64"/>
      </patternFill>
    </fill>
    <fill>
      <patternFill patternType="solid">
        <fgColor theme="6" tint="0.59999389629810485"/>
        <bgColor indexed="64"/>
      </patternFill>
    </fill>
  </fills>
  <borders count="15">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4">
    <xf numFmtId="0" fontId="0" fillId="0" borderId="0"/>
    <xf numFmtId="0" fontId="2" fillId="0" borderId="0" applyNumberFormat="0" applyFill="0" applyBorder="0" applyAlignment="0" applyProtection="0">
      <alignment vertical="top"/>
      <protection locked="0"/>
    </xf>
    <xf numFmtId="9" fontId="3" fillId="0" borderId="0" applyFont="0" applyFill="0" applyBorder="0" applyAlignment="0" applyProtection="0"/>
    <xf numFmtId="0" fontId="7" fillId="0" borderId="0"/>
    <xf numFmtId="43" fontId="3" fillId="0" borderId="2" applyFont="0" applyFill="0" applyAlignment="0" applyProtection="0"/>
    <xf numFmtId="0" fontId="5" fillId="0" borderId="0" applyNumberFormat="0" applyFill="0" applyBorder="0" applyAlignment="0" applyProtection="0"/>
    <xf numFmtId="0" fontId="4" fillId="0" borderId="0" applyNumberFormat="0" applyFill="0" applyAlignment="0" applyProtection="0"/>
    <xf numFmtId="0" fontId="4" fillId="0" borderId="0" applyNumberFormat="0" applyFill="0" applyProtection="0">
      <alignment vertical="top"/>
    </xf>
    <xf numFmtId="0" fontId="3" fillId="0" borderId="0" applyNumberFormat="0" applyFill="0" applyProtection="0">
      <alignment horizontal="right" indent="1"/>
    </xf>
    <xf numFmtId="165" fontId="3" fillId="0" borderId="2">
      <alignment horizontal="center" vertical="center"/>
    </xf>
    <xf numFmtId="164" fontId="3" fillId="0" borderId="1" applyFill="0">
      <alignment horizontal="center" vertical="center"/>
    </xf>
    <xf numFmtId="0" fontId="3" fillId="0" borderId="1" applyFill="0">
      <alignment horizontal="center" vertical="center"/>
    </xf>
    <xf numFmtId="0" fontId="3" fillId="0" borderId="1" applyFill="0">
      <alignment horizontal="left" vertical="center" indent="2"/>
    </xf>
    <xf numFmtId="44" fontId="3" fillId="0" borderId="0" applyFont="0" applyFill="0" applyBorder="0" applyAlignment="0" applyProtection="0"/>
  </cellStyleXfs>
  <cellXfs count="146">
    <xf numFmtId="0" fontId="0" fillId="0" borderId="0" xfId="0"/>
    <xf numFmtId="0" fontId="8" fillId="0" borderId="0" xfId="0" applyFont="1" applyAlignment="1">
      <alignment horizontal="center"/>
    </xf>
    <xf numFmtId="0" fontId="8" fillId="0" borderId="0" xfId="0" applyFont="1" applyAlignment="1">
      <alignment horizontal="center" vertical="center"/>
    </xf>
    <xf numFmtId="0" fontId="9" fillId="0" borderId="0" xfId="0" applyFont="1"/>
    <xf numFmtId="0" fontId="9" fillId="0" borderId="0" xfId="0" applyFont="1" applyAlignment="1">
      <alignment horizontal="center"/>
    </xf>
    <xf numFmtId="0" fontId="3" fillId="0" borderId="0" xfId="0" applyFont="1"/>
    <xf numFmtId="0" fontId="1" fillId="0" borderId="0" xfId="1" applyFont="1" applyAlignment="1" applyProtection="1">
      <alignment horizontal="left" vertical="top" indent="1"/>
    </xf>
    <xf numFmtId="0" fontId="3" fillId="0" borderId="0" xfId="0" applyFont="1" applyAlignment="1">
      <alignment horizontal="left" indent="1"/>
    </xf>
    <xf numFmtId="0" fontId="13" fillId="0" borderId="0" xfId="6" applyFont="1" applyAlignment="1">
      <alignment horizontal="left" vertical="center" indent="1"/>
    </xf>
    <xf numFmtId="0" fontId="14" fillId="0" borderId="0" xfId="5" applyFont="1" applyAlignment="1">
      <alignment horizontal="left"/>
    </xf>
    <xf numFmtId="1" fontId="8" fillId="0" borderId="0" xfId="0" applyNumberFormat="1" applyFont="1" applyAlignment="1">
      <alignment horizontal="center" vertical="center"/>
    </xf>
    <xf numFmtId="1" fontId="9" fillId="0" borderId="0" xfId="0" applyNumberFormat="1" applyFont="1"/>
    <xf numFmtId="1" fontId="3" fillId="0" borderId="0" xfId="0" applyNumberFormat="1" applyFont="1"/>
    <xf numFmtId="1" fontId="11" fillId="6" borderId="3" xfId="0" applyNumberFormat="1" applyFont="1" applyFill="1" applyBorder="1" applyAlignment="1">
      <alignment horizontal="center" vertical="center" wrapText="1"/>
    </xf>
    <xf numFmtId="0" fontId="11" fillId="6" borderId="3" xfId="0" applyFont="1" applyFill="1" applyBorder="1" applyAlignment="1">
      <alignment vertical="center" wrapText="1"/>
    </xf>
    <xf numFmtId="0" fontId="12" fillId="4" borderId="3" xfId="0" applyFont="1" applyFill="1" applyBorder="1" applyAlignment="1">
      <alignment horizontal="left" vertical="center" indent="1"/>
    </xf>
    <xf numFmtId="0" fontId="10" fillId="2" borderId="3" xfId="12" applyFont="1" applyFill="1" applyBorder="1">
      <alignment horizontal="left" vertical="center" indent="2"/>
    </xf>
    <xf numFmtId="0" fontId="3" fillId="0" borderId="3" xfId="0" applyFont="1" applyBorder="1" applyAlignment="1">
      <alignment vertical="center"/>
    </xf>
    <xf numFmtId="1" fontId="0" fillId="0" borderId="3" xfId="0" applyNumberFormat="1" applyBorder="1"/>
    <xf numFmtId="0" fontId="0" fillId="0" borderId="3" xfId="0" applyBorder="1"/>
    <xf numFmtId="9" fontId="10" fillId="4" borderId="3" xfId="2" applyFont="1" applyFill="1" applyBorder="1" applyAlignment="1">
      <alignment vertical="center"/>
    </xf>
    <xf numFmtId="9" fontId="10" fillId="5" borderId="3" xfId="2" applyFont="1" applyFill="1" applyBorder="1" applyAlignment="1">
      <alignment vertical="center"/>
    </xf>
    <xf numFmtId="9" fontId="10" fillId="3" borderId="3" xfId="2" applyFont="1" applyFill="1" applyBorder="1" applyAlignment="1">
      <alignment vertical="center"/>
    </xf>
    <xf numFmtId="0" fontId="11" fillId="6" borderId="3" xfId="0" applyFont="1" applyFill="1" applyBorder="1" applyAlignment="1">
      <alignment horizontal="center" vertical="center"/>
    </xf>
    <xf numFmtId="0" fontId="11" fillId="6" borderId="3" xfId="0" applyFont="1" applyFill="1" applyBorder="1" applyAlignment="1">
      <alignment horizontal="left" vertical="center" indent="1"/>
    </xf>
    <xf numFmtId="166" fontId="8" fillId="0" borderId="2" xfId="4" applyNumberFormat="1" applyFont="1" applyAlignment="1">
      <alignment horizontal="center" vertical="center"/>
    </xf>
    <xf numFmtId="166" fontId="0" fillId="0" borderId="2" xfId="4" applyNumberFormat="1" applyFont="1"/>
    <xf numFmtId="166" fontId="9" fillId="0" borderId="2" xfId="4" applyNumberFormat="1" applyFont="1"/>
    <xf numFmtId="166" fontId="3" fillId="0" borderId="2" xfId="4" applyNumberFormat="1"/>
    <xf numFmtId="166" fontId="11" fillId="6" borderId="2" xfId="4" applyNumberFormat="1" applyFont="1" applyFill="1" applyAlignment="1">
      <alignment horizontal="center" vertical="center" wrapText="1"/>
    </xf>
    <xf numFmtId="166" fontId="11" fillId="6" borderId="2" xfId="4" applyNumberFormat="1" applyFont="1" applyFill="1" applyAlignment="1">
      <alignment vertical="center" wrapText="1"/>
    </xf>
    <xf numFmtId="0" fontId="15" fillId="0" borderId="3" xfId="0" applyFont="1" applyBorder="1"/>
    <xf numFmtId="166" fontId="11" fillId="6" borderId="3" xfId="4" applyNumberFormat="1" applyFont="1" applyFill="1" applyBorder="1" applyAlignment="1">
      <alignment horizontal="center" vertical="center" wrapText="1"/>
    </xf>
    <xf numFmtId="166" fontId="11" fillId="6" borderId="3" xfId="4" applyNumberFormat="1" applyFont="1" applyFill="1" applyBorder="1" applyAlignment="1">
      <alignment vertical="center" wrapText="1"/>
    </xf>
    <xf numFmtId="1" fontId="11" fillId="6" borderId="3" xfId="0" applyNumberFormat="1" applyFont="1" applyFill="1" applyBorder="1" applyAlignment="1">
      <alignment horizontal="right" vertical="center" wrapText="1"/>
    </xf>
    <xf numFmtId="0" fontId="11" fillId="6" borderId="3" xfId="0" applyFont="1" applyFill="1" applyBorder="1" applyAlignment="1">
      <alignment horizontal="right" vertical="center" wrapText="1"/>
    </xf>
    <xf numFmtId="166" fontId="11" fillId="4" borderId="3" xfId="4" applyNumberFormat="1" applyFont="1" applyFill="1" applyBorder="1" applyAlignment="1">
      <alignment vertical="center"/>
    </xf>
    <xf numFmtId="166" fontId="10" fillId="4" borderId="3" xfId="4" applyNumberFormat="1" applyFont="1" applyFill="1" applyBorder="1" applyAlignment="1">
      <alignment vertical="center"/>
    </xf>
    <xf numFmtId="1" fontId="10" fillId="4" borderId="3" xfId="2" applyNumberFormat="1" applyFont="1" applyFill="1" applyBorder="1" applyAlignment="1">
      <alignment horizontal="right" vertical="center"/>
    </xf>
    <xf numFmtId="9" fontId="10" fillId="4" borderId="3" xfId="2" applyFont="1" applyFill="1" applyBorder="1" applyAlignment="1">
      <alignment horizontal="right" vertical="center"/>
    </xf>
    <xf numFmtId="6" fontId="10" fillId="4" borderId="3" xfId="2" applyNumberFormat="1" applyFont="1" applyFill="1" applyBorder="1" applyAlignment="1">
      <alignment vertical="center"/>
    </xf>
    <xf numFmtId="166" fontId="11" fillId="5" borderId="3" xfId="4" applyNumberFormat="1" applyFont="1" applyFill="1" applyBorder="1" applyAlignment="1">
      <alignment vertical="center"/>
    </xf>
    <xf numFmtId="1" fontId="10" fillId="5" borderId="3" xfId="2" applyNumberFormat="1" applyFont="1" applyFill="1" applyBorder="1" applyAlignment="1">
      <alignment horizontal="right" vertical="center"/>
    </xf>
    <xf numFmtId="9" fontId="10" fillId="5" borderId="3" xfId="2" applyFont="1" applyFill="1" applyBorder="1" applyAlignment="1">
      <alignment horizontal="right" vertical="center"/>
    </xf>
    <xf numFmtId="6" fontId="10" fillId="5" borderId="3" xfId="2" applyNumberFormat="1" applyFont="1" applyFill="1" applyBorder="1" applyAlignment="1">
      <alignment vertical="center"/>
    </xf>
    <xf numFmtId="166" fontId="11" fillId="3" borderId="3" xfId="4" applyNumberFormat="1" applyFont="1" applyFill="1" applyBorder="1" applyAlignment="1">
      <alignment vertical="center"/>
    </xf>
    <xf numFmtId="1" fontId="10" fillId="3" borderId="3" xfId="2" applyNumberFormat="1" applyFont="1" applyFill="1" applyBorder="1" applyAlignment="1">
      <alignment horizontal="right" vertical="center"/>
    </xf>
    <xf numFmtId="9" fontId="10" fillId="3" borderId="3" xfId="2" applyFont="1" applyFill="1" applyBorder="1" applyAlignment="1">
      <alignment horizontal="right" vertical="center"/>
    </xf>
    <xf numFmtId="167" fontId="10" fillId="3" borderId="3" xfId="13" applyNumberFormat="1" applyFont="1" applyFill="1" applyBorder="1" applyAlignment="1">
      <alignment vertical="center"/>
    </xf>
    <xf numFmtId="0" fontId="16" fillId="0" borderId="0" xfId="0" applyFont="1"/>
    <xf numFmtId="0" fontId="3" fillId="0" borderId="3" xfId="0" applyFont="1" applyBorder="1"/>
    <xf numFmtId="166" fontId="3" fillId="0" borderId="4" xfId="4" applyNumberFormat="1" applyBorder="1"/>
    <xf numFmtId="166" fontId="0" fillId="0" borderId="3" xfId="4" applyNumberFormat="1" applyFont="1" applyBorder="1"/>
    <xf numFmtId="0" fontId="0" fillId="0" borderId="3" xfId="0" applyBorder="1" applyAlignment="1">
      <alignment horizontal="center"/>
    </xf>
    <xf numFmtId="0" fontId="11" fillId="4" borderId="3" xfId="0" applyFont="1" applyFill="1" applyBorder="1" applyAlignment="1">
      <alignment horizontal="center" vertical="center"/>
    </xf>
    <xf numFmtId="164" fontId="11" fillId="4" borderId="3" xfId="0" applyNumberFormat="1" applyFont="1" applyFill="1" applyBorder="1" applyAlignment="1">
      <alignment horizontal="center" vertical="center"/>
    </xf>
    <xf numFmtId="0" fontId="15" fillId="0" borderId="3" xfId="0" applyFont="1" applyBorder="1" applyAlignment="1">
      <alignment wrapText="1"/>
    </xf>
    <xf numFmtId="0" fontId="11" fillId="0" borderId="5" xfId="0" applyFont="1" applyBorder="1" applyAlignment="1">
      <alignment vertical="center" wrapText="1"/>
    </xf>
    <xf numFmtId="6" fontId="0" fillId="0" borderId="0" xfId="0" applyNumberFormat="1"/>
    <xf numFmtId="1" fontId="8" fillId="0" borderId="2" xfId="4" applyNumberFormat="1" applyFont="1" applyAlignment="1">
      <alignment horizontal="right" vertical="center"/>
    </xf>
    <xf numFmtId="1" fontId="11" fillId="6" borderId="3" xfId="4" applyNumberFormat="1" applyFont="1" applyFill="1" applyBorder="1" applyAlignment="1">
      <alignment horizontal="right" vertical="center" wrapText="1"/>
    </xf>
    <xf numFmtId="9" fontId="8" fillId="0" borderId="0" xfId="0" applyNumberFormat="1" applyFont="1" applyAlignment="1">
      <alignment horizontal="right" vertical="center"/>
    </xf>
    <xf numFmtId="9" fontId="9" fillId="0" borderId="0" xfId="0" applyNumberFormat="1" applyFont="1" applyAlignment="1">
      <alignment horizontal="right"/>
    </xf>
    <xf numFmtId="9" fontId="3" fillId="0" borderId="0" xfId="0" applyNumberFormat="1" applyFont="1" applyAlignment="1">
      <alignment horizontal="right"/>
    </xf>
    <xf numFmtId="9" fontId="11" fillId="6" borderId="3" xfId="0" applyNumberFormat="1" applyFont="1" applyFill="1" applyBorder="1" applyAlignment="1">
      <alignment horizontal="right" vertical="center" wrapText="1"/>
    </xf>
    <xf numFmtId="9" fontId="0" fillId="0" borderId="3" xfId="0" applyNumberFormat="1" applyBorder="1" applyAlignment="1">
      <alignment horizontal="right"/>
    </xf>
    <xf numFmtId="1" fontId="11" fillId="6" borderId="3" xfId="0" applyNumberFormat="1" applyFont="1" applyFill="1" applyBorder="1" applyAlignment="1">
      <alignment vertical="center" wrapText="1"/>
    </xf>
    <xf numFmtId="8" fontId="0" fillId="0" borderId="0" xfId="0" applyNumberFormat="1"/>
    <xf numFmtId="0" fontId="15" fillId="0" borderId="0" xfId="0" applyFont="1"/>
    <xf numFmtId="0" fontId="17" fillId="0" borderId="3" xfId="0" applyFont="1" applyBorder="1" applyAlignment="1">
      <alignment vertical="center" wrapText="1"/>
    </xf>
    <xf numFmtId="166" fontId="0" fillId="0" borderId="3" xfId="0" applyNumberFormat="1" applyBorder="1"/>
    <xf numFmtId="0" fontId="15" fillId="0" borderId="6" xfId="0" applyFont="1" applyBorder="1"/>
    <xf numFmtId="0" fontId="15" fillId="0" borderId="7" xfId="0" applyFont="1" applyBorder="1"/>
    <xf numFmtId="0" fontId="15" fillId="0" borderId="8" xfId="0" applyFont="1" applyBorder="1"/>
    <xf numFmtId="166" fontId="10" fillId="6" borderId="9" xfId="4" applyNumberFormat="1" applyFont="1" applyFill="1" applyBorder="1" applyAlignment="1">
      <alignment horizontal="left" vertical="center" wrapText="1"/>
    </xf>
    <xf numFmtId="0" fontId="0" fillId="0" borderId="10" xfId="0" applyBorder="1"/>
    <xf numFmtId="1" fontId="10" fillId="6" borderId="9" xfId="4" applyNumberFormat="1" applyFont="1" applyFill="1" applyBorder="1" applyAlignment="1">
      <alignment horizontal="left" vertical="center" wrapText="1"/>
    </xf>
    <xf numFmtId="168" fontId="10" fillId="6" borderId="9" xfId="0" applyNumberFormat="1" applyFont="1" applyFill="1" applyBorder="1" applyAlignment="1">
      <alignment horizontal="left" vertical="center" wrapText="1"/>
    </xf>
    <xf numFmtId="9" fontId="10" fillId="6" borderId="9" xfId="0" applyNumberFormat="1" applyFont="1" applyFill="1" applyBorder="1" applyAlignment="1">
      <alignment horizontal="left" vertical="center" wrapText="1"/>
    </xf>
    <xf numFmtId="1" fontId="10" fillId="6" borderId="9" xfId="0" applyNumberFormat="1" applyFont="1" applyFill="1" applyBorder="1" applyAlignment="1">
      <alignment horizontal="left" vertical="center" wrapText="1"/>
    </xf>
    <xf numFmtId="0" fontId="10" fillId="6" borderId="9" xfId="0" applyFont="1" applyFill="1" applyBorder="1" applyAlignment="1">
      <alignment horizontal="left" vertical="center" wrapText="1"/>
    </xf>
    <xf numFmtId="169" fontId="10" fillId="6" borderId="11" xfId="0" applyNumberFormat="1" applyFont="1" applyFill="1" applyBorder="1" applyAlignment="1">
      <alignment horizontal="left" vertical="center" wrapText="1"/>
    </xf>
    <xf numFmtId="0" fontId="0" fillId="0" borderId="12" xfId="0" applyBorder="1" applyAlignment="1">
      <alignment wrapText="1"/>
    </xf>
    <xf numFmtId="44" fontId="0" fillId="0" borderId="13" xfId="13" applyFont="1" applyBorder="1"/>
    <xf numFmtId="0" fontId="0" fillId="0" borderId="10" xfId="0" applyBorder="1" applyAlignment="1">
      <alignment wrapText="1"/>
    </xf>
    <xf numFmtId="0" fontId="12" fillId="8" borderId="3" xfId="0" applyFont="1" applyFill="1" applyBorder="1" applyAlignment="1">
      <alignment horizontal="left" vertical="center" indent="1"/>
    </xf>
    <xf numFmtId="164" fontId="11" fillId="8" borderId="3" xfId="0" applyNumberFormat="1" applyFont="1" applyFill="1" applyBorder="1" applyAlignment="1">
      <alignment horizontal="center" vertical="center"/>
    </xf>
    <xf numFmtId="164" fontId="6" fillId="8" borderId="3" xfId="0" applyNumberFormat="1" applyFont="1" applyFill="1" applyBorder="1" applyAlignment="1">
      <alignment horizontal="center" vertical="center"/>
    </xf>
    <xf numFmtId="0" fontId="10" fillId="3" borderId="3" xfId="12" applyFont="1" applyFill="1" applyBorder="1">
      <alignment horizontal="left" vertical="center" indent="2"/>
    </xf>
    <xf numFmtId="166" fontId="10" fillId="0" borderId="2" xfId="4" applyNumberFormat="1" applyFont="1"/>
    <xf numFmtId="1" fontId="18" fillId="0" borderId="2" xfId="4" applyNumberFormat="1" applyFont="1" applyAlignment="1">
      <alignment horizontal="right"/>
    </xf>
    <xf numFmtId="1" fontId="10" fillId="0" borderId="4" xfId="4" applyNumberFormat="1" applyFont="1" applyBorder="1" applyAlignment="1">
      <alignment horizontal="right"/>
    </xf>
    <xf numFmtId="1" fontId="10" fillId="0" borderId="3" xfId="4" applyNumberFormat="1" applyFont="1" applyBorder="1" applyAlignment="1">
      <alignment horizontal="right"/>
    </xf>
    <xf numFmtId="9" fontId="8" fillId="0" borderId="0" xfId="0" applyNumberFormat="1" applyFont="1" applyAlignment="1">
      <alignment horizontal="center" vertical="center"/>
    </xf>
    <xf numFmtId="9" fontId="9" fillId="0" borderId="0" xfId="0" applyNumberFormat="1" applyFont="1"/>
    <xf numFmtId="9" fontId="3" fillId="0" borderId="0" xfId="0" applyNumberFormat="1" applyFont="1"/>
    <xf numFmtId="9" fontId="11" fillId="6" borderId="3" xfId="0" applyNumberFormat="1" applyFont="1" applyFill="1" applyBorder="1" applyAlignment="1">
      <alignment vertical="center" wrapText="1"/>
    </xf>
    <xf numFmtId="9" fontId="0" fillId="0" borderId="3" xfId="0" applyNumberFormat="1" applyBorder="1"/>
    <xf numFmtId="166" fontId="10" fillId="3" borderId="3" xfId="4" applyNumberFormat="1" applyFont="1" applyFill="1" applyBorder="1" applyAlignment="1">
      <alignment horizontal="center" vertical="center"/>
    </xf>
    <xf numFmtId="37" fontId="10" fillId="3" borderId="3" xfId="4" applyNumberFormat="1" applyFont="1" applyFill="1" applyBorder="1" applyAlignment="1">
      <alignment horizontal="center" vertical="center"/>
    </xf>
    <xf numFmtId="166" fontId="10" fillId="2" borderId="3" xfId="4" applyNumberFormat="1" applyFont="1" applyFill="1" applyBorder="1" applyAlignment="1">
      <alignment horizontal="center" vertical="center"/>
    </xf>
    <xf numFmtId="49" fontId="8" fillId="0" borderId="2" xfId="4" applyNumberFormat="1" applyFont="1" applyAlignment="1">
      <alignment horizontal="center" vertical="center"/>
    </xf>
    <xf numFmtId="49" fontId="11" fillId="6" borderId="2" xfId="4" applyNumberFormat="1" applyFont="1" applyFill="1" applyAlignment="1">
      <alignment horizontal="center" vertical="center" wrapText="1"/>
    </xf>
    <xf numFmtId="49" fontId="11" fillId="4" borderId="3" xfId="4" applyNumberFormat="1" applyFont="1" applyFill="1" applyBorder="1" applyAlignment="1">
      <alignment horizontal="center" vertical="center"/>
    </xf>
    <xf numFmtId="1" fontId="11" fillId="7" borderId="3" xfId="4" applyNumberFormat="1" applyFont="1" applyFill="1" applyBorder="1" applyAlignment="1">
      <alignment horizontal="center" vertical="center"/>
    </xf>
    <xf numFmtId="166" fontId="11" fillId="4" borderId="3" xfId="4" applyNumberFormat="1" applyFont="1" applyFill="1" applyBorder="1" applyAlignment="1">
      <alignment horizontal="center" vertical="center"/>
    </xf>
    <xf numFmtId="9" fontId="11" fillId="7" borderId="3" xfId="0" applyNumberFormat="1" applyFont="1" applyFill="1" applyBorder="1" applyAlignment="1">
      <alignment horizontal="center" vertical="center"/>
    </xf>
    <xf numFmtId="1" fontId="11" fillId="7" borderId="3" xfId="0" applyNumberFormat="1" applyFont="1" applyFill="1" applyBorder="1" applyAlignment="1">
      <alignment horizontal="center" vertical="center"/>
    </xf>
    <xf numFmtId="9" fontId="11" fillId="7" borderId="3" xfId="2" applyFont="1" applyFill="1" applyBorder="1" applyAlignment="1">
      <alignment horizontal="center" vertical="center"/>
    </xf>
    <xf numFmtId="49" fontId="9" fillId="0" borderId="2" xfId="4" applyNumberFormat="1" applyFont="1" applyAlignment="1">
      <alignment horizontal="center" vertical="center"/>
    </xf>
    <xf numFmtId="49" fontId="3" fillId="0" borderId="2" xfId="4" applyNumberFormat="1" applyAlignment="1">
      <alignment horizontal="center" vertical="center"/>
    </xf>
    <xf numFmtId="49" fontId="10" fillId="2" borderId="3" xfId="4" applyNumberFormat="1" applyFont="1" applyFill="1" applyBorder="1" applyAlignment="1">
      <alignment horizontal="center" vertical="center"/>
    </xf>
    <xf numFmtId="49" fontId="11" fillId="9" borderId="3" xfId="4" applyNumberFormat="1" applyFont="1" applyFill="1" applyBorder="1" applyAlignment="1">
      <alignment horizontal="center" vertical="center"/>
    </xf>
    <xf numFmtId="49" fontId="10" fillId="3" borderId="3" xfId="4" applyNumberFormat="1" applyFont="1" applyFill="1" applyBorder="1" applyAlignment="1">
      <alignment horizontal="center" vertical="center"/>
    </xf>
    <xf numFmtId="49" fontId="0" fillId="0" borderId="2" xfId="4" applyNumberFormat="1" applyFont="1" applyAlignment="1">
      <alignment horizontal="center" vertical="center"/>
    </xf>
    <xf numFmtId="1" fontId="10" fillId="2" borderId="3" xfId="4" applyNumberFormat="1" applyFont="1" applyFill="1" applyBorder="1" applyAlignment="1">
      <alignment horizontal="center" vertical="center"/>
    </xf>
    <xf numFmtId="9" fontId="10" fillId="2" borderId="3" xfId="0" applyNumberFormat="1" applyFont="1" applyFill="1" applyBorder="1" applyAlignment="1">
      <alignment horizontal="center" vertical="center"/>
    </xf>
    <xf numFmtId="1" fontId="10" fillId="2" borderId="3" xfId="0" applyNumberFormat="1" applyFont="1" applyFill="1" applyBorder="1" applyAlignment="1">
      <alignment horizontal="center" vertical="center"/>
    </xf>
    <xf numFmtId="166" fontId="11" fillId="9" borderId="3" xfId="4" applyNumberFormat="1" applyFont="1" applyFill="1" applyBorder="1" applyAlignment="1">
      <alignment horizontal="center" vertical="center"/>
    </xf>
    <xf numFmtId="1" fontId="11" fillId="9" borderId="3" xfId="4" applyNumberFormat="1" applyFont="1" applyFill="1" applyBorder="1" applyAlignment="1">
      <alignment horizontal="center" vertical="center"/>
    </xf>
    <xf numFmtId="9" fontId="11" fillId="9" borderId="3" xfId="0" applyNumberFormat="1" applyFont="1" applyFill="1" applyBorder="1" applyAlignment="1">
      <alignment horizontal="center" vertical="center"/>
    </xf>
    <xf numFmtId="1" fontId="11" fillId="9" borderId="3" xfId="0" applyNumberFormat="1" applyFont="1" applyFill="1" applyBorder="1" applyAlignment="1">
      <alignment horizontal="center" vertical="center"/>
    </xf>
    <xf numFmtId="9" fontId="11" fillId="9" borderId="5" xfId="0" applyNumberFormat="1" applyFont="1" applyFill="1" applyBorder="1" applyAlignment="1">
      <alignment horizontal="center" vertical="center"/>
    </xf>
    <xf numFmtId="1" fontId="10" fillId="3" borderId="3" xfId="4" applyNumberFormat="1" applyFont="1" applyFill="1" applyBorder="1" applyAlignment="1">
      <alignment horizontal="center" vertical="center"/>
    </xf>
    <xf numFmtId="9" fontId="10" fillId="3" borderId="3" xfId="2" applyFont="1" applyFill="1" applyBorder="1" applyAlignment="1">
      <alignment horizontal="center" vertical="center"/>
    </xf>
    <xf numFmtId="9" fontId="10" fillId="3" borderId="3" xfId="4" applyNumberFormat="1" applyFont="1" applyFill="1" applyBorder="1" applyAlignment="1">
      <alignment horizontal="center" vertical="center"/>
    </xf>
    <xf numFmtId="9" fontId="0" fillId="3" borderId="3" xfId="0" applyNumberFormat="1" applyFill="1" applyBorder="1" applyAlignment="1">
      <alignment horizontal="center" vertical="center"/>
    </xf>
    <xf numFmtId="0" fontId="10" fillId="3" borderId="3" xfId="4" applyNumberFormat="1" applyFont="1" applyFill="1" applyBorder="1" applyAlignment="1">
      <alignment horizontal="center" vertical="center"/>
    </xf>
    <xf numFmtId="9" fontId="11" fillId="9" borderId="14" xfId="0" applyNumberFormat="1" applyFont="1" applyFill="1" applyBorder="1" applyAlignment="1">
      <alignment horizontal="center" vertical="center"/>
    </xf>
    <xf numFmtId="9" fontId="10" fillId="3" borderId="3" xfId="0" applyNumberFormat="1" applyFont="1" applyFill="1" applyBorder="1" applyAlignment="1">
      <alignment horizontal="center" vertical="center"/>
    </xf>
    <xf numFmtId="164" fontId="10" fillId="2" borderId="3" xfId="10" applyFont="1" applyFill="1" applyBorder="1">
      <alignment horizontal="center" vertical="center"/>
    </xf>
    <xf numFmtId="1" fontId="10" fillId="2" borderId="3" xfId="10" applyNumberFormat="1" applyFont="1" applyFill="1" applyBorder="1">
      <alignment horizontal="center" vertical="center"/>
    </xf>
    <xf numFmtId="0" fontId="11" fillId="9" borderId="3" xfId="11" applyFont="1" applyFill="1" applyBorder="1">
      <alignment horizontal="center" vertical="center"/>
    </xf>
    <xf numFmtId="164" fontId="10" fillId="3" borderId="3" xfId="10" applyFont="1" applyFill="1" applyBorder="1">
      <alignment horizontal="center" vertical="center"/>
    </xf>
    <xf numFmtId="0" fontId="10" fillId="3" borderId="3" xfId="11" applyFont="1" applyFill="1" applyBorder="1">
      <alignment horizontal="center" vertical="center"/>
    </xf>
    <xf numFmtId="166" fontId="0" fillId="3" borderId="3" xfId="4" applyNumberFormat="1" applyFont="1" applyFill="1" applyBorder="1" applyAlignment="1">
      <alignment horizontal="center" vertical="center"/>
    </xf>
    <xf numFmtId="166" fontId="10" fillId="3" borderId="3" xfId="4" applyNumberFormat="1" applyFont="1" applyFill="1" applyBorder="1" applyAlignment="1">
      <alignment horizontal="center"/>
    </xf>
    <xf numFmtId="166" fontId="0" fillId="3" borderId="3" xfId="4" applyNumberFormat="1" applyFont="1" applyFill="1" applyBorder="1" applyAlignment="1">
      <alignment horizontal="center"/>
    </xf>
    <xf numFmtId="9" fontId="0" fillId="3" borderId="3" xfId="0" applyNumberFormat="1" applyFill="1" applyBorder="1" applyAlignment="1">
      <alignment horizontal="center"/>
    </xf>
    <xf numFmtId="1" fontId="0" fillId="3" borderId="3" xfId="0" applyNumberFormat="1" applyFill="1" applyBorder="1" applyAlignment="1">
      <alignment horizontal="center"/>
    </xf>
    <xf numFmtId="166" fontId="10" fillId="2" borderId="3" xfId="4" applyNumberFormat="1" applyFont="1" applyFill="1" applyBorder="1" applyAlignment="1">
      <alignment horizontal="center"/>
    </xf>
    <xf numFmtId="9" fontId="10" fillId="2" borderId="3" xfId="0" applyNumberFormat="1" applyFont="1" applyFill="1" applyBorder="1" applyAlignment="1">
      <alignment horizontal="center"/>
    </xf>
    <xf numFmtId="1" fontId="10" fillId="2" borderId="3" xfId="0" applyNumberFormat="1" applyFont="1" applyFill="1" applyBorder="1" applyAlignment="1">
      <alignment horizontal="center"/>
    </xf>
    <xf numFmtId="1" fontId="10" fillId="2" borderId="3" xfId="4" applyNumberFormat="1" applyFont="1" applyFill="1" applyBorder="1"/>
    <xf numFmtId="166" fontId="10" fillId="2" borderId="3" xfId="4" applyNumberFormat="1" applyFont="1" applyFill="1" applyBorder="1"/>
    <xf numFmtId="9" fontId="10" fillId="2" borderId="3" xfId="0" applyNumberFormat="1" applyFont="1" applyFill="1" applyBorder="1"/>
  </cellXfs>
  <cellStyles count="14">
    <cellStyle name="Comma" xfId="4" builtinId="3" customBuiltin="1"/>
    <cellStyle name="Currency" xfId="13" builtinId="4"/>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9">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2" defaultTableStyle="TableStyleMedium2" defaultPivotStyle="PivotStyleLight16">
    <tableStyle name="Invisible" pivot="0" table="0" count="0" xr9:uid="{F6AB5C75-88D1-475D-A1E0-7959C11578A9}"/>
    <tableStyle name="ToDoList" pivot="0" count="9" xr9:uid="{00000000-0011-0000-FFFF-FFFF00000000}">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5" Type="http://schemas.openxmlformats.org/officeDocument/2006/relationships/customXml" Target="../customXml/item6.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 Id="rId14" Type="http://schemas.openxmlformats.org/officeDocument/2006/relationships/customXml" Target="../customXml/item5.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53"/>
  <sheetViews>
    <sheetView showGridLines="0" showRuler="0" topLeftCell="A3" zoomScale="80" zoomScaleNormal="80" zoomScalePageLayoutView="70" workbookViewId="0">
      <pane xSplit="6" ySplit="2" topLeftCell="H5" activePane="bottomRight" state="frozen"/>
      <selection pane="topRight" activeCell="H3" sqref="H3"/>
      <selection pane="bottomLeft" activeCell="A5" sqref="A5"/>
      <selection pane="bottomRight" activeCell="Q6" sqref="Q6"/>
    </sheetView>
  </sheetViews>
  <sheetFormatPr defaultColWidth="8.75" defaultRowHeight="30" customHeight="1" x14ac:dyDescent="0.2"/>
  <cols>
    <col min="1" max="1" width="13.125" style="19" customWidth="1"/>
    <col min="2" max="2" width="33.75" style="19" customWidth="1"/>
    <col min="3" max="3" width="13.875" style="53" customWidth="1"/>
    <col min="4" max="4" width="11.375" style="19" customWidth="1"/>
    <col min="5" max="5" width="17.125" style="18" customWidth="1"/>
    <col min="6" max="6" width="11.125" style="26" customWidth="1"/>
    <col min="7" max="7" width="11.125" style="114" customWidth="1"/>
    <col min="8" max="8" width="10.375" style="92" customWidth="1"/>
    <col min="9" max="9" width="10" style="89" customWidth="1"/>
    <col min="10" max="10" width="10.375" style="52" customWidth="1"/>
    <col min="11" max="11" width="10.125" style="65" customWidth="1"/>
    <col min="12" max="12" width="9" style="65" customWidth="1"/>
    <col min="13" max="13" width="9.375" style="18" customWidth="1"/>
    <col min="14" max="15" width="9" style="97" customWidth="1"/>
    <col min="16" max="16" width="9.625" style="97" customWidth="1"/>
  </cols>
  <sheetData>
    <row r="1" spans="1:16" ht="90" customHeight="1" x14ac:dyDescent="0.8">
      <c r="A1"/>
      <c r="B1" s="9" t="s">
        <v>0</v>
      </c>
      <c r="C1" s="1"/>
      <c r="D1" s="2"/>
      <c r="E1" s="10"/>
      <c r="F1" s="25"/>
      <c r="G1" s="101"/>
      <c r="H1" s="59"/>
      <c r="J1" s="25"/>
      <c r="K1" s="61"/>
      <c r="L1" s="61"/>
      <c r="M1" s="10"/>
      <c r="N1" s="93"/>
      <c r="O1" s="93"/>
      <c r="P1" s="93"/>
    </row>
    <row r="2" spans="1:16" ht="30" customHeight="1" x14ac:dyDescent="0.2">
      <c r="A2"/>
      <c r="B2" s="8"/>
      <c r="C2" s="4"/>
      <c r="D2" s="3"/>
      <c r="E2" s="11"/>
      <c r="F2" s="27"/>
      <c r="G2" s="109"/>
      <c r="H2" s="90"/>
      <c r="J2" s="27"/>
      <c r="K2" s="62"/>
      <c r="L2" s="62"/>
      <c r="M2" s="11"/>
      <c r="N2" s="94"/>
      <c r="O2" s="94"/>
      <c r="P2" s="94"/>
    </row>
    <row r="3" spans="1:16" s="5" customFormat="1" ht="30" customHeight="1" x14ac:dyDescent="0.2">
      <c r="B3" s="6"/>
      <c r="C3" s="7"/>
      <c r="E3" s="12"/>
      <c r="F3" s="28"/>
      <c r="G3" s="110"/>
      <c r="H3" s="91"/>
      <c r="I3" s="89"/>
      <c r="J3" s="51"/>
      <c r="K3" s="63"/>
      <c r="L3" s="63"/>
      <c r="M3" s="12"/>
      <c r="N3" s="95"/>
      <c r="O3" s="95"/>
      <c r="P3" s="95"/>
    </row>
    <row r="4" spans="1:16" s="5" customFormat="1" ht="57" customHeight="1" x14ac:dyDescent="0.2">
      <c r="A4" s="50" t="s">
        <v>1</v>
      </c>
      <c r="B4" s="24" t="s">
        <v>2</v>
      </c>
      <c r="C4" s="23" t="s">
        <v>3</v>
      </c>
      <c r="D4" s="23" t="s">
        <v>4</v>
      </c>
      <c r="E4" s="13" t="s">
        <v>5</v>
      </c>
      <c r="F4" s="29" t="s">
        <v>6</v>
      </c>
      <c r="G4" s="102" t="s">
        <v>7</v>
      </c>
      <c r="H4" s="60" t="s">
        <v>8</v>
      </c>
      <c r="I4" s="30" t="s">
        <v>9</v>
      </c>
      <c r="J4" s="33" t="s">
        <v>10</v>
      </c>
      <c r="K4" s="64" t="s">
        <v>11</v>
      </c>
      <c r="L4" s="64" t="s">
        <v>12</v>
      </c>
      <c r="M4" s="66" t="s">
        <v>13</v>
      </c>
      <c r="N4" s="96" t="s">
        <v>14</v>
      </c>
      <c r="O4" s="96" t="s">
        <v>102</v>
      </c>
      <c r="P4" s="96" t="s">
        <v>103</v>
      </c>
    </row>
    <row r="5" spans="1:16" ht="30" customHeight="1" x14ac:dyDescent="0.2">
      <c r="A5" s="17" t="s">
        <v>17</v>
      </c>
      <c r="B5" s="15" t="s">
        <v>18</v>
      </c>
      <c r="C5" s="55">
        <v>45663</v>
      </c>
      <c r="D5" s="55">
        <v>45737</v>
      </c>
      <c r="E5" s="54" cm="1">
        <f t="array" ref="E5">SUM(INT((WEEKDAY(C5-{2,3,4,5,6})+D5-C5)/7))</f>
        <v>55</v>
      </c>
      <c r="F5" s="105">
        <v>9827</v>
      </c>
      <c r="G5" s="103">
        <v>9772</v>
      </c>
      <c r="H5" s="104">
        <v>151</v>
      </c>
      <c r="I5" s="105">
        <f>G5-H5</f>
        <v>9621</v>
      </c>
      <c r="J5" s="105">
        <v>5470</v>
      </c>
      <c r="K5" s="108">
        <f>(I5/G5)</f>
        <v>0.98454768726975028</v>
      </c>
      <c r="L5" s="106">
        <f>J5/G5</f>
        <v>0.55976258698321735</v>
      </c>
      <c r="M5" s="107">
        <v>3769</v>
      </c>
      <c r="N5" s="108">
        <f>M5/J5</f>
        <v>0.68903107861060331</v>
      </c>
      <c r="O5" s="108">
        <f>G8/G5</f>
        <v>0.35151453131395827</v>
      </c>
      <c r="P5" s="108">
        <v>0.31</v>
      </c>
    </row>
    <row r="6" spans="1:16" ht="30" customHeight="1" x14ac:dyDescent="0.2">
      <c r="A6" s="17" t="s">
        <v>17</v>
      </c>
      <c r="B6" s="16" t="s">
        <v>19</v>
      </c>
      <c r="C6" s="130">
        <v>45663</v>
      </c>
      <c r="D6" s="130">
        <v>45674</v>
      </c>
      <c r="E6" s="131" cm="1">
        <f t="array" ref="E6">SUM(INT((WEEKDAY(C6-{2,3,4,5,6})+D6-C6)/7))</f>
        <v>10</v>
      </c>
      <c r="F6" s="100" t="s">
        <v>20</v>
      </c>
      <c r="G6" s="111">
        <v>7299</v>
      </c>
      <c r="H6" s="115">
        <v>1182</v>
      </c>
      <c r="I6" s="100">
        <f>G6-H6</f>
        <v>6117</v>
      </c>
      <c r="J6" s="100">
        <v>3979</v>
      </c>
      <c r="K6" s="116">
        <f>I6/G6</f>
        <v>0.83806000822030413</v>
      </c>
      <c r="L6" s="116">
        <f>J6/G6</f>
        <v>0.54514317029730097</v>
      </c>
      <c r="M6" s="117" t="s">
        <v>20</v>
      </c>
      <c r="N6" s="116" t="s">
        <v>20</v>
      </c>
      <c r="O6" s="117" t="s">
        <v>20</v>
      </c>
      <c r="P6" s="116" t="s">
        <v>20</v>
      </c>
    </row>
    <row r="7" spans="1:16" ht="30" customHeight="1" x14ac:dyDescent="0.2">
      <c r="A7" s="17" t="s">
        <v>17</v>
      </c>
      <c r="B7" s="16" t="s">
        <v>21</v>
      </c>
      <c r="C7" s="130">
        <v>45667</v>
      </c>
      <c r="D7" s="130">
        <v>45667</v>
      </c>
      <c r="E7" s="131" cm="1">
        <f t="array" ref="E7">SUM(INT((WEEKDAY(C7-{2,3,4,5,6})+D7-C7)/7))</f>
        <v>1</v>
      </c>
      <c r="F7" s="100" t="s">
        <v>20</v>
      </c>
      <c r="G7" s="111">
        <v>290</v>
      </c>
      <c r="H7" s="115">
        <v>0</v>
      </c>
      <c r="I7" s="100">
        <f>G7-H7</f>
        <v>290</v>
      </c>
      <c r="J7" s="100">
        <v>69</v>
      </c>
      <c r="K7" s="116">
        <f>I7/G7</f>
        <v>1</v>
      </c>
      <c r="L7" s="116">
        <f>J7/G7</f>
        <v>0.23793103448275862</v>
      </c>
      <c r="M7" s="117" t="s">
        <v>20</v>
      </c>
      <c r="N7" s="116" t="s">
        <v>20</v>
      </c>
      <c r="O7" s="117" t="s">
        <v>20</v>
      </c>
      <c r="P7" s="116" t="s">
        <v>20</v>
      </c>
    </row>
    <row r="8" spans="1:16" ht="30" customHeight="1" x14ac:dyDescent="0.2">
      <c r="A8" s="17" t="s">
        <v>17</v>
      </c>
      <c r="B8" s="16" t="s">
        <v>22</v>
      </c>
      <c r="C8" s="130">
        <v>45664</v>
      </c>
      <c r="D8" s="130">
        <v>45707</v>
      </c>
      <c r="E8" s="131" cm="1">
        <f t="array" ref="E8">SUM(INT((WEEKDAY(C8-{2,3,4,5,6})+D8-C8)/7))</f>
        <v>32</v>
      </c>
      <c r="F8" s="100" t="s">
        <v>20</v>
      </c>
      <c r="G8" s="111">
        <v>3435</v>
      </c>
      <c r="H8" s="115">
        <v>791</v>
      </c>
      <c r="I8" s="100">
        <f>G8-H8</f>
        <v>2644</v>
      </c>
      <c r="J8" s="100">
        <v>1293</v>
      </c>
      <c r="K8" s="116">
        <f>I8/G8</f>
        <v>0.76972343522561859</v>
      </c>
      <c r="L8" s="116">
        <f>J8/G8</f>
        <v>0.37641921397379913</v>
      </c>
      <c r="M8" s="117" t="s">
        <v>20</v>
      </c>
      <c r="N8" s="116" t="s">
        <v>20</v>
      </c>
      <c r="O8" s="117" t="s">
        <v>20</v>
      </c>
      <c r="P8" s="116" t="s">
        <v>20</v>
      </c>
    </row>
    <row r="9" spans="1:16" ht="30" customHeight="1" x14ac:dyDescent="0.2">
      <c r="A9" s="17" t="s">
        <v>17</v>
      </c>
      <c r="B9" s="16" t="s">
        <v>23</v>
      </c>
      <c r="C9" s="130">
        <v>45716</v>
      </c>
      <c r="D9" s="130">
        <v>45737</v>
      </c>
      <c r="E9" s="131" cm="1">
        <f t="array" ref="E9">SUM(INT((WEEKDAY(C9-{2,3,4,5,6})+D9-C9)/7))</f>
        <v>16</v>
      </c>
      <c r="F9" s="100" t="s">
        <v>20</v>
      </c>
      <c r="G9" s="111">
        <v>791</v>
      </c>
      <c r="H9" s="115">
        <v>151</v>
      </c>
      <c r="I9" s="117">
        <f>G9-H9</f>
        <v>640</v>
      </c>
      <c r="J9" s="117">
        <v>129</v>
      </c>
      <c r="K9" s="116">
        <f>I9/G9</f>
        <v>0.80910240202275596</v>
      </c>
      <c r="L9" s="116">
        <f>J9/G9</f>
        <v>0.16308470290771176</v>
      </c>
      <c r="M9" s="117" t="s">
        <v>20</v>
      </c>
      <c r="N9" s="116" t="s">
        <v>20</v>
      </c>
      <c r="O9" s="117" t="s">
        <v>20</v>
      </c>
      <c r="P9" s="116" t="s">
        <v>20</v>
      </c>
    </row>
    <row r="10" spans="1:16" ht="30" customHeight="1" x14ac:dyDescent="0.2">
      <c r="A10" s="17" t="s">
        <v>17</v>
      </c>
      <c r="B10" s="16" t="s">
        <v>24</v>
      </c>
      <c r="C10" s="130"/>
      <c r="D10" s="130">
        <v>45737</v>
      </c>
      <c r="E10" s="131"/>
      <c r="F10" s="100"/>
      <c r="G10" s="111"/>
      <c r="H10" s="115"/>
      <c r="I10" s="100"/>
      <c r="J10" s="100"/>
      <c r="K10" s="116"/>
      <c r="L10" s="116"/>
      <c r="M10" s="117"/>
      <c r="N10" s="116"/>
      <c r="O10" s="116"/>
      <c r="P10" s="116"/>
    </row>
    <row r="11" spans="1:16" ht="30" customHeight="1" x14ac:dyDescent="0.2">
      <c r="A11" s="19" t="s">
        <v>26</v>
      </c>
      <c r="B11" s="85" t="s">
        <v>27</v>
      </c>
      <c r="C11" s="86">
        <v>45720</v>
      </c>
      <c r="D11" s="87">
        <v>45783</v>
      </c>
      <c r="E11" s="132" cm="1">
        <f t="array" ref="E11">SUM(INT((WEEKDAY(C11-{2,3,4,5,6})+D11-C11)/7))</f>
        <v>46</v>
      </c>
      <c r="F11" s="118">
        <v>5282</v>
      </c>
      <c r="G11" s="112">
        <v>4933</v>
      </c>
      <c r="H11" s="119">
        <v>6</v>
      </c>
      <c r="I11" s="118">
        <f t="shared" ref="I11:I16" si="0">G11-H11</f>
        <v>4927</v>
      </c>
      <c r="J11" s="118">
        <v>2927</v>
      </c>
      <c r="K11" s="120">
        <f t="shared" ref="K11:K16" si="1">I11/G11</f>
        <v>0.99878370160145957</v>
      </c>
      <c r="L11" s="120">
        <f>J11/G11</f>
        <v>0.59335090208797892</v>
      </c>
      <c r="M11" s="121">
        <v>1835</v>
      </c>
      <c r="N11" s="128">
        <f>M11/J11</f>
        <v>0.62692176289716428</v>
      </c>
      <c r="O11" s="122">
        <f>G15/G11</f>
        <v>0.34968578958037705</v>
      </c>
      <c r="P11" s="122">
        <v>0.73</v>
      </c>
    </row>
    <row r="12" spans="1:16" ht="30" customHeight="1" x14ac:dyDescent="0.2">
      <c r="A12" s="19" t="s">
        <v>26</v>
      </c>
      <c r="B12" s="88" t="s">
        <v>19</v>
      </c>
      <c r="C12" s="133">
        <v>45720</v>
      </c>
      <c r="D12" s="133">
        <v>45734</v>
      </c>
      <c r="E12" s="134" cm="1">
        <f t="array" ref="E12">SUM(INT((WEEKDAY(C12-{2,3,4,5,6})+D12-C12)/7))</f>
        <v>11</v>
      </c>
      <c r="F12" s="98" t="s">
        <v>28</v>
      </c>
      <c r="G12" s="113">
        <v>3920</v>
      </c>
      <c r="H12" s="123">
        <v>1087</v>
      </c>
      <c r="I12" s="98">
        <f t="shared" si="0"/>
        <v>2833</v>
      </c>
      <c r="J12" s="135">
        <v>1411</v>
      </c>
      <c r="K12" s="129">
        <f t="shared" si="1"/>
        <v>0.72270408163265309</v>
      </c>
      <c r="L12" s="129">
        <f>J12/G12</f>
        <v>0.35994897959183675</v>
      </c>
      <c r="M12" s="98" t="s">
        <v>28</v>
      </c>
      <c r="N12" s="98" t="s">
        <v>28</v>
      </c>
      <c r="O12" s="98" t="s">
        <v>28</v>
      </c>
      <c r="P12" s="125" t="s">
        <v>28</v>
      </c>
    </row>
    <row r="13" spans="1:16" ht="30" customHeight="1" x14ac:dyDescent="0.2">
      <c r="A13" s="19" t="s">
        <v>26</v>
      </c>
      <c r="B13" s="88" t="s">
        <v>21</v>
      </c>
      <c r="C13" s="133">
        <v>45726</v>
      </c>
      <c r="D13" s="133">
        <v>45726</v>
      </c>
      <c r="E13" s="134" cm="1">
        <f t="array" ref="E13">SUM(INT((WEEKDAY(C13-{2,3,4,5,6})+D13-C13)/7))</f>
        <v>1</v>
      </c>
      <c r="F13" s="98" t="s">
        <v>28</v>
      </c>
      <c r="G13" s="113">
        <v>377</v>
      </c>
      <c r="H13" s="123">
        <v>0</v>
      </c>
      <c r="I13" s="98">
        <f t="shared" si="0"/>
        <v>377</v>
      </c>
      <c r="J13" s="98">
        <v>377</v>
      </c>
      <c r="K13" s="124">
        <f t="shared" si="1"/>
        <v>1</v>
      </c>
      <c r="L13" s="124">
        <f>J13/G13</f>
        <v>1</v>
      </c>
      <c r="M13" s="98" t="s">
        <v>28</v>
      </c>
      <c r="N13" s="98" t="s">
        <v>28</v>
      </c>
      <c r="O13" s="98" t="s">
        <v>28</v>
      </c>
      <c r="P13" s="125" t="s">
        <v>28</v>
      </c>
    </row>
    <row r="14" spans="1:16" ht="30" customHeight="1" x14ac:dyDescent="0.2">
      <c r="A14" s="19" t="s">
        <v>26</v>
      </c>
      <c r="B14" s="88" t="s">
        <v>29</v>
      </c>
      <c r="C14" s="133">
        <v>45721</v>
      </c>
      <c r="D14" s="133">
        <v>45797</v>
      </c>
      <c r="E14" s="134" cm="1">
        <f t="array" ref="E14">SUM(INT((WEEKDAY(C14-{2,3,4,5,6})+D14-C14)/7))</f>
        <v>55</v>
      </c>
      <c r="F14" s="99" t="s">
        <v>28</v>
      </c>
      <c r="G14" s="113">
        <v>383</v>
      </c>
      <c r="H14" s="123">
        <v>0</v>
      </c>
      <c r="I14" s="98">
        <f t="shared" si="0"/>
        <v>383</v>
      </c>
      <c r="J14" s="123"/>
      <c r="K14" s="124">
        <f t="shared" si="1"/>
        <v>1</v>
      </c>
      <c r="L14" s="124">
        <f>J14/G14</f>
        <v>0</v>
      </c>
      <c r="M14" s="98" t="s">
        <v>28</v>
      </c>
      <c r="N14" s="98" t="s">
        <v>28</v>
      </c>
      <c r="O14" s="98" t="s">
        <v>28</v>
      </c>
      <c r="P14" s="125" t="s">
        <v>28</v>
      </c>
    </row>
    <row r="15" spans="1:16" ht="30" customHeight="1" x14ac:dyDescent="0.2">
      <c r="A15" s="19" t="s">
        <v>26</v>
      </c>
      <c r="B15" s="88" t="s">
        <v>22</v>
      </c>
      <c r="C15" s="133">
        <v>45735</v>
      </c>
      <c r="D15" s="133">
        <v>45754</v>
      </c>
      <c r="E15" s="134" cm="1">
        <f t="array" ref="E15">SUM(INT((WEEKDAY(C15-{2,3,4,5,6})+D15-C15)/7))</f>
        <v>14</v>
      </c>
      <c r="F15" s="98" t="s">
        <v>28</v>
      </c>
      <c r="G15" s="127">
        <v>1725</v>
      </c>
      <c r="H15" s="123">
        <v>55</v>
      </c>
      <c r="I15" s="98">
        <f t="shared" si="0"/>
        <v>1670</v>
      </c>
      <c r="J15" s="98">
        <v>1320</v>
      </c>
      <c r="K15" s="124">
        <f t="shared" si="1"/>
        <v>0.96811594202898554</v>
      </c>
      <c r="L15" s="124">
        <f>J15/G15</f>
        <v>0.76521739130434785</v>
      </c>
      <c r="M15" s="98" t="s">
        <v>28</v>
      </c>
      <c r="N15" s="98" t="s">
        <v>28</v>
      </c>
      <c r="O15" s="98" t="s">
        <v>28</v>
      </c>
      <c r="P15" s="125" t="s">
        <v>28</v>
      </c>
    </row>
    <row r="16" spans="1:16" ht="30" customHeight="1" x14ac:dyDescent="0.2">
      <c r="A16" s="19" t="s">
        <v>26</v>
      </c>
      <c r="B16" s="88" t="s">
        <v>23</v>
      </c>
      <c r="C16" s="133">
        <v>45754</v>
      </c>
      <c r="D16" s="133">
        <v>45779</v>
      </c>
      <c r="E16" s="134" cm="1">
        <f t="array" ref="E16">SUM(INT((WEEKDAY(C16-{2,3,4,5,6})+D16-C16)/7))</f>
        <v>20</v>
      </c>
      <c r="F16" s="98" t="s">
        <v>28</v>
      </c>
      <c r="G16" s="113" t="s">
        <v>30</v>
      </c>
      <c r="H16" s="123">
        <v>6</v>
      </c>
      <c r="I16" s="98">
        <f t="shared" si="0"/>
        <v>49</v>
      </c>
      <c r="J16" s="98">
        <v>14</v>
      </c>
      <c r="K16" s="124">
        <f t="shared" si="1"/>
        <v>0.89090909090909087</v>
      </c>
      <c r="L16" s="124"/>
      <c r="M16" s="98" t="s">
        <v>28</v>
      </c>
      <c r="N16" s="126"/>
      <c r="O16" s="126"/>
      <c r="P16" s="126"/>
    </row>
    <row r="17" spans="1:16" ht="30" customHeight="1" x14ac:dyDescent="0.2">
      <c r="A17" s="19" t="s">
        <v>26</v>
      </c>
      <c r="B17" s="88" t="s">
        <v>24</v>
      </c>
      <c r="C17" s="133"/>
      <c r="D17" s="133">
        <v>45783</v>
      </c>
      <c r="E17" s="134"/>
      <c r="F17" s="98"/>
      <c r="G17" s="113"/>
      <c r="H17" s="123"/>
      <c r="I17" s="136"/>
      <c r="J17" s="137"/>
      <c r="K17" s="138"/>
      <c r="L17" s="138"/>
      <c r="M17" s="139"/>
      <c r="N17" s="138"/>
      <c r="O17" s="138"/>
      <c r="P17" s="138"/>
    </row>
    <row r="18" spans="1:16" ht="30" customHeight="1" x14ac:dyDescent="0.2">
      <c r="A18" s="17" t="s">
        <v>17</v>
      </c>
      <c r="B18" s="15" t="s">
        <v>31</v>
      </c>
      <c r="C18" s="55">
        <v>45750</v>
      </c>
      <c r="D18" s="55">
        <v>45817</v>
      </c>
      <c r="E18" s="54" cm="1">
        <f t="array" ref="E18">SUM(INT((WEEKDAY(C18-{2,3,4,5,6})+D18-C18)/7))</f>
        <v>48</v>
      </c>
      <c r="F18" s="105">
        <v>9941</v>
      </c>
      <c r="G18" s="103" t="s">
        <v>32</v>
      </c>
      <c r="H18" s="104">
        <v>122</v>
      </c>
      <c r="I18" s="105">
        <f>G18-H22</f>
        <v>9764</v>
      </c>
      <c r="J18" s="105">
        <v>5533</v>
      </c>
      <c r="K18" s="108">
        <f>I18/G18</f>
        <v>0.98765931620473402</v>
      </c>
      <c r="L18" s="106">
        <f>J18/G18</f>
        <v>0.5596803560590734</v>
      </c>
      <c r="M18" s="107">
        <v>4139</v>
      </c>
      <c r="N18" s="108">
        <f>M18/J18</f>
        <v>0.74805711187420931</v>
      </c>
      <c r="O18" s="108">
        <f>G21/G18</f>
        <v>0.37821161238114503</v>
      </c>
      <c r="P18" s="108">
        <v>0.38</v>
      </c>
    </row>
    <row r="19" spans="1:16" ht="30" customHeight="1" x14ac:dyDescent="0.2">
      <c r="A19" s="17" t="s">
        <v>17</v>
      </c>
      <c r="B19" s="16" t="s">
        <v>19</v>
      </c>
      <c r="C19" s="130">
        <v>45749</v>
      </c>
      <c r="D19" s="130">
        <v>45763</v>
      </c>
      <c r="E19" s="131" cm="1">
        <f t="array" ref="E19">SUM(INT((WEEKDAY(C19-{2,3,4,5,6})+D19-C19)/7))</f>
        <v>11</v>
      </c>
      <c r="F19" s="100" t="s">
        <v>20</v>
      </c>
      <c r="G19" s="111" t="s">
        <v>33</v>
      </c>
      <c r="H19" s="115">
        <v>1429</v>
      </c>
      <c r="I19" s="140">
        <f>G19-H19</f>
        <v>5867</v>
      </c>
      <c r="J19" s="140">
        <v>4535</v>
      </c>
      <c r="K19" s="141">
        <f>I19/G19</f>
        <v>0.8041392543859649</v>
      </c>
      <c r="L19" s="141">
        <f>J19/G19</f>
        <v>0.62157346491228072</v>
      </c>
      <c r="M19" s="117" t="s">
        <v>34</v>
      </c>
      <c r="N19" s="116" t="s">
        <v>34</v>
      </c>
      <c r="O19" s="116" t="s">
        <v>34</v>
      </c>
      <c r="P19" s="116" t="s">
        <v>34</v>
      </c>
    </row>
    <row r="20" spans="1:16" ht="30" customHeight="1" x14ac:dyDescent="0.2">
      <c r="A20" s="17" t="s">
        <v>17</v>
      </c>
      <c r="B20" s="16" t="s">
        <v>21</v>
      </c>
      <c r="C20" s="130">
        <v>45754</v>
      </c>
      <c r="D20" s="130">
        <v>45755</v>
      </c>
      <c r="E20" s="131" cm="1">
        <f t="array" ref="E20">SUM(INT((WEEKDAY(C20-{2,3,4,5,6})+D20-C20)/7))</f>
        <v>2</v>
      </c>
      <c r="F20" s="100" t="s">
        <v>20</v>
      </c>
      <c r="G20" s="111" t="s">
        <v>35</v>
      </c>
      <c r="H20" s="115">
        <v>0</v>
      </c>
      <c r="I20" s="100">
        <f>G20-H20</f>
        <v>284</v>
      </c>
      <c r="J20" s="100">
        <v>147</v>
      </c>
      <c r="K20" s="116">
        <f>I20/G20</f>
        <v>1</v>
      </c>
      <c r="L20" s="116">
        <f>J20/G20</f>
        <v>0.51760563380281688</v>
      </c>
      <c r="M20" s="117" t="s">
        <v>34</v>
      </c>
      <c r="N20" s="116" t="s">
        <v>34</v>
      </c>
      <c r="O20" s="116" t="s">
        <v>34</v>
      </c>
      <c r="P20" s="116" t="s">
        <v>34</v>
      </c>
    </row>
    <row r="21" spans="1:16" ht="30" customHeight="1" x14ac:dyDescent="0.2">
      <c r="A21" s="17" t="s">
        <v>17</v>
      </c>
      <c r="B21" s="16" t="s">
        <v>22</v>
      </c>
      <c r="C21" s="130">
        <v>45755</v>
      </c>
      <c r="D21" s="130">
        <v>45793</v>
      </c>
      <c r="E21" s="131" cm="1">
        <f t="array" ref="E21">SUM(INT((WEEKDAY(C21-{2,3,4,5,6})+D21-C21)/7))</f>
        <v>29</v>
      </c>
      <c r="F21" s="100" t="s">
        <v>20</v>
      </c>
      <c r="G21" s="111" t="s">
        <v>36</v>
      </c>
      <c r="H21" s="115">
        <v>532</v>
      </c>
      <c r="I21" s="100">
        <f>G21-H21</f>
        <v>3207</v>
      </c>
      <c r="J21" s="100">
        <v>1667</v>
      </c>
      <c r="K21" s="116">
        <f>I21/G21</f>
        <v>0.85771596683605245</v>
      </c>
      <c r="L21" s="116">
        <f>J21/G21</f>
        <v>0.44584113399304626</v>
      </c>
      <c r="M21" s="117" t="s">
        <v>34</v>
      </c>
      <c r="N21" s="116" t="s">
        <v>34</v>
      </c>
      <c r="O21" s="116" t="s">
        <v>34</v>
      </c>
      <c r="P21" s="116" t="s">
        <v>34</v>
      </c>
    </row>
    <row r="22" spans="1:16" ht="30" customHeight="1" x14ac:dyDescent="0.2">
      <c r="A22" s="17" t="s">
        <v>17</v>
      </c>
      <c r="B22" s="16" t="s">
        <v>23</v>
      </c>
      <c r="C22" s="130">
        <v>45796</v>
      </c>
      <c r="D22" s="130">
        <v>45814</v>
      </c>
      <c r="E22" s="131" cm="1">
        <f t="array" ref="E22">SUM(INT((WEEKDAY(C22-{2,3,4,5,6})+D22-C22)/7))</f>
        <v>15</v>
      </c>
      <c r="F22" s="100" t="s">
        <v>20</v>
      </c>
      <c r="G22" s="111" t="s">
        <v>37</v>
      </c>
      <c r="H22" s="115">
        <v>122</v>
      </c>
      <c r="I22" s="100">
        <f>G22-H22</f>
        <v>410</v>
      </c>
      <c r="J22" s="100">
        <v>77</v>
      </c>
      <c r="K22" s="116">
        <f>I22/G22</f>
        <v>0.77067669172932329</v>
      </c>
      <c r="L22" s="116">
        <f>J22/G22</f>
        <v>0.14473684210526316</v>
      </c>
      <c r="M22" s="117" t="s">
        <v>34</v>
      </c>
      <c r="N22" s="116" t="s">
        <v>34</v>
      </c>
      <c r="O22" s="116" t="s">
        <v>34</v>
      </c>
      <c r="P22" s="116" t="s">
        <v>34</v>
      </c>
    </row>
    <row r="23" spans="1:16" ht="30" customHeight="1" x14ac:dyDescent="0.2">
      <c r="A23" s="17" t="s">
        <v>17</v>
      </c>
      <c r="B23" s="16" t="s">
        <v>24</v>
      </c>
      <c r="C23" s="130"/>
      <c r="D23" s="130">
        <v>45817</v>
      </c>
      <c r="E23" s="131"/>
      <c r="F23" s="100"/>
      <c r="G23" s="111"/>
      <c r="H23" s="115"/>
      <c r="I23" s="140"/>
      <c r="J23" s="140"/>
      <c r="K23" s="141"/>
      <c r="L23" s="141"/>
      <c r="M23" s="142"/>
      <c r="N23" s="141"/>
      <c r="O23" s="141"/>
      <c r="P23" s="141"/>
    </row>
    <row r="24" spans="1:16" ht="30" customHeight="1" x14ac:dyDescent="0.2">
      <c r="A24" s="19" t="s">
        <v>26</v>
      </c>
      <c r="B24" s="85" t="s">
        <v>38</v>
      </c>
      <c r="C24" s="86">
        <v>45810</v>
      </c>
      <c r="D24" s="87">
        <v>45873</v>
      </c>
      <c r="E24" s="132" cm="1">
        <f t="array" ref="E24">SUM(INT((WEEKDAY(C24-{2,3,4,5,6})+D24-C24)/7))</f>
        <v>46</v>
      </c>
      <c r="F24" s="118">
        <v>5253</v>
      </c>
      <c r="G24" s="112" t="s">
        <v>39</v>
      </c>
      <c r="H24" s="119">
        <v>26</v>
      </c>
      <c r="I24" s="118">
        <f>G24-H24</f>
        <v>4896</v>
      </c>
      <c r="J24" s="118">
        <v>2926</v>
      </c>
      <c r="K24" s="120">
        <f t="shared" ref="K24:K29" si="2">I24/G24</f>
        <v>0.99471759447379116</v>
      </c>
      <c r="L24" s="120">
        <f>J24/G24</f>
        <v>0.59447379114181231</v>
      </c>
      <c r="M24" s="121"/>
      <c r="N24" s="128">
        <v>0.75</v>
      </c>
      <c r="O24" s="122" t="s">
        <v>34</v>
      </c>
      <c r="P24" s="122">
        <v>0.45</v>
      </c>
    </row>
    <row r="25" spans="1:16" ht="30" customHeight="1" x14ac:dyDescent="0.2">
      <c r="A25" s="19" t="s">
        <v>26</v>
      </c>
      <c r="B25" s="88" t="s">
        <v>19</v>
      </c>
      <c r="C25" s="133">
        <v>45810</v>
      </c>
      <c r="D25" s="133">
        <v>45824</v>
      </c>
      <c r="E25" s="134" cm="1">
        <f t="array" ref="E25">SUM(INT((WEEKDAY(C25-{2,3,4,5,6})+D25-C25)/7))</f>
        <v>11</v>
      </c>
      <c r="F25" s="98" t="s">
        <v>28</v>
      </c>
      <c r="G25" s="113" t="s">
        <v>40</v>
      </c>
      <c r="H25" s="123"/>
      <c r="I25" s="98">
        <f>G25-H25</f>
        <v>3953</v>
      </c>
      <c r="J25" s="98">
        <v>2264</v>
      </c>
      <c r="K25" s="129">
        <f>I25/G25</f>
        <v>1</v>
      </c>
      <c r="L25" s="129">
        <f>J25/G25</f>
        <v>0.57272957247660006</v>
      </c>
      <c r="M25" s="98" t="s">
        <v>28</v>
      </c>
      <c r="N25" s="126"/>
      <c r="O25" s="126"/>
      <c r="P25" s="126"/>
    </row>
    <row r="26" spans="1:16" ht="30" customHeight="1" x14ac:dyDescent="0.2">
      <c r="A26" s="19" t="s">
        <v>26</v>
      </c>
      <c r="B26" s="88" t="s">
        <v>21</v>
      </c>
      <c r="C26" s="133">
        <v>45811</v>
      </c>
      <c r="D26" s="133">
        <v>45812</v>
      </c>
      <c r="E26" s="134" cm="1">
        <f t="array" ref="E26">SUM(INT((WEEKDAY(C26-{2,3,4,5,6})+D26-C26)/7))</f>
        <v>2</v>
      </c>
      <c r="F26" s="98" t="s">
        <v>28</v>
      </c>
      <c r="G26" s="113" t="s">
        <v>41</v>
      </c>
      <c r="H26" s="123">
        <v>0</v>
      </c>
      <c r="I26" s="98">
        <f>G26-H26</f>
        <v>353</v>
      </c>
      <c r="J26" s="98">
        <v>169</v>
      </c>
      <c r="K26" s="124">
        <f>I26/G26</f>
        <v>1</v>
      </c>
      <c r="L26" s="124">
        <f>J26/G26</f>
        <v>0.47875354107648727</v>
      </c>
      <c r="M26" s="98" t="s">
        <v>28</v>
      </c>
      <c r="N26" s="125"/>
      <c r="O26" s="125"/>
      <c r="P26" s="125"/>
    </row>
    <row r="27" spans="1:16" ht="30" customHeight="1" x14ac:dyDescent="0.2">
      <c r="A27" s="19" t="s">
        <v>26</v>
      </c>
      <c r="B27" s="88" t="s">
        <v>29</v>
      </c>
      <c r="C27" s="133">
        <v>45810</v>
      </c>
      <c r="D27" s="133">
        <v>45873</v>
      </c>
      <c r="E27" s="134" cm="1">
        <f t="array" ref="E27">SUM(INT((WEEKDAY(C27-{2,3,4,5,6})+D27-C27)/7))</f>
        <v>46</v>
      </c>
      <c r="F27" s="99" t="s">
        <v>28</v>
      </c>
      <c r="G27" s="113" t="s">
        <v>42</v>
      </c>
      <c r="H27" s="123"/>
      <c r="I27" s="98">
        <f>G27-H27</f>
        <v>331</v>
      </c>
      <c r="J27" s="98"/>
      <c r="K27" s="124">
        <f t="shared" si="2"/>
        <v>1</v>
      </c>
      <c r="L27" s="124">
        <f>J27/G27</f>
        <v>0</v>
      </c>
      <c r="M27" s="98" t="s">
        <v>28</v>
      </c>
      <c r="N27" s="125"/>
      <c r="O27" s="125"/>
      <c r="P27" s="125"/>
    </row>
    <row r="28" spans="1:16" ht="30" customHeight="1" x14ac:dyDescent="0.2">
      <c r="A28" s="19" t="s">
        <v>26</v>
      </c>
      <c r="B28" s="88" t="s">
        <v>22</v>
      </c>
      <c r="C28" s="133" t="s">
        <v>34</v>
      </c>
      <c r="D28" s="133" t="s">
        <v>34</v>
      </c>
      <c r="E28" s="134" t="s">
        <v>34</v>
      </c>
      <c r="F28" s="98" t="s">
        <v>34</v>
      </c>
      <c r="G28" s="127" t="s">
        <v>34</v>
      </c>
      <c r="H28" s="123" t="s">
        <v>34</v>
      </c>
      <c r="I28" s="98" t="s">
        <v>34</v>
      </c>
      <c r="J28" s="135" t="s">
        <v>34</v>
      </c>
      <c r="K28" s="124" t="s">
        <v>34</v>
      </c>
      <c r="L28" s="124" t="s">
        <v>34</v>
      </c>
      <c r="M28" s="98" t="s">
        <v>28</v>
      </c>
      <c r="N28" s="126"/>
      <c r="O28" s="126"/>
      <c r="P28" s="126"/>
    </row>
    <row r="29" spans="1:16" ht="30" customHeight="1" x14ac:dyDescent="0.2">
      <c r="A29" s="19" t="s">
        <v>26</v>
      </c>
      <c r="B29" s="88" t="s">
        <v>23</v>
      </c>
      <c r="C29" s="133">
        <v>45838</v>
      </c>
      <c r="D29" s="133">
        <v>45870</v>
      </c>
      <c r="E29" s="134" cm="1">
        <f t="array" ref="E29">SUM(INT((WEEKDAY(C29-{2,3,4,5,6})+D29-C29)/7))</f>
        <v>25</v>
      </c>
      <c r="F29" s="98" t="s">
        <v>28</v>
      </c>
      <c r="G29" s="113" t="s">
        <v>43</v>
      </c>
      <c r="H29" s="123">
        <v>26</v>
      </c>
      <c r="I29" s="98">
        <f>G29-H29</f>
        <v>590</v>
      </c>
      <c r="J29" s="98">
        <v>417</v>
      </c>
      <c r="K29" s="124">
        <f t="shared" si="2"/>
        <v>0.95779220779220775</v>
      </c>
      <c r="L29" s="124">
        <f>J29/I29</f>
        <v>0.70677966101694911</v>
      </c>
      <c r="M29" s="98" t="s">
        <v>28</v>
      </c>
      <c r="N29" s="126"/>
      <c r="O29" s="126"/>
      <c r="P29" s="126"/>
    </row>
    <row r="30" spans="1:16" ht="30" customHeight="1" x14ac:dyDescent="0.2">
      <c r="A30" s="19" t="s">
        <v>26</v>
      </c>
      <c r="B30" s="88" t="s">
        <v>24</v>
      </c>
      <c r="C30" s="133"/>
      <c r="D30" s="133">
        <v>45873</v>
      </c>
      <c r="E30" s="134"/>
      <c r="F30" s="98"/>
      <c r="G30" s="113"/>
      <c r="H30" s="123"/>
      <c r="I30" s="136"/>
      <c r="J30" s="137"/>
      <c r="K30" s="138"/>
      <c r="L30" s="138"/>
      <c r="M30" s="139"/>
      <c r="N30" s="138"/>
      <c r="O30" s="138"/>
      <c r="P30" s="138"/>
    </row>
    <row r="31" spans="1:16" ht="30" customHeight="1" x14ac:dyDescent="0.2">
      <c r="A31" s="17" t="s">
        <v>17</v>
      </c>
      <c r="B31" s="15" t="s">
        <v>44</v>
      </c>
      <c r="C31" s="55">
        <v>45889</v>
      </c>
      <c r="D31" s="55">
        <v>45978</v>
      </c>
      <c r="E31" s="54" cm="1">
        <f t="array" ref="E31">SUM(INT((WEEKDAY(C31-{2,3,4,5,6})+D31-C31)/7))</f>
        <v>64</v>
      </c>
      <c r="F31" s="105">
        <v>10154</v>
      </c>
      <c r="G31" s="103" t="s">
        <v>45</v>
      </c>
      <c r="H31" s="104"/>
      <c r="I31" s="105">
        <f t="shared" ref="I31:I37" si="3">G31-H31</f>
        <v>10099</v>
      </c>
      <c r="J31" s="105">
        <v>5624</v>
      </c>
      <c r="K31" s="108">
        <f t="shared" ref="K31:K37" si="4">I31/G31</f>
        <v>1</v>
      </c>
      <c r="L31" s="106">
        <f>J31/G31</f>
        <v>0.556886820477275</v>
      </c>
      <c r="M31" s="107"/>
      <c r="N31" s="108">
        <v>0.77</v>
      </c>
      <c r="O31" s="108">
        <f>G34/G31</f>
        <v>0.30696108525596594</v>
      </c>
      <c r="P31" s="108">
        <v>0.37</v>
      </c>
    </row>
    <row r="32" spans="1:16" ht="30" customHeight="1" x14ac:dyDescent="0.2">
      <c r="A32" s="17" t="s">
        <v>17</v>
      </c>
      <c r="B32" s="16" t="s">
        <v>19</v>
      </c>
      <c r="C32" s="130">
        <v>45889</v>
      </c>
      <c r="D32" s="130">
        <v>45903</v>
      </c>
      <c r="E32" s="131" cm="1">
        <f t="array" ref="E32">SUM(INT((WEEKDAY(C32-{2,3,4,5,6})+D32-C32)/7))</f>
        <v>11</v>
      </c>
      <c r="F32" s="100"/>
      <c r="G32" s="111" t="s">
        <v>46</v>
      </c>
      <c r="H32" s="143">
        <v>1163</v>
      </c>
      <c r="I32" s="144">
        <f t="shared" si="3"/>
        <v>6226</v>
      </c>
      <c r="J32" s="144">
        <v>3940</v>
      </c>
      <c r="K32" s="145">
        <f t="shared" si="4"/>
        <v>0.84260387061848696</v>
      </c>
      <c r="L32" s="145">
        <f t="shared" ref="L32:L37" si="5">J32/G32</f>
        <v>0.53322506428474759</v>
      </c>
      <c r="M32" s="142"/>
      <c r="N32" s="141"/>
      <c r="O32" s="141"/>
      <c r="P32" s="141"/>
    </row>
    <row r="33" spans="1:16" ht="30" customHeight="1" x14ac:dyDescent="0.2">
      <c r="A33" s="17" t="s">
        <v>17</v>
      </c>
      <c r="B33" s="16" t="s">
        <v>21</v>
      </c>
      <c r="C33" s="130">
        <v>45908</v>
      </c>
      <c r="D33" s="130">
        <v>45908</v>
      </c>
      <c r="E33" s="131" cm="1">
        <f t="array" ref="E33">SUM(INT((WEEKDAY(C33-{2,3,4,5,6})+D33-C33)/7))</f>
        <v>1</v>
      </c>
      <c r="F33" s="100" t="s">
        <v>34</v>
      </c>
      <c r="G33" s="111" t="s">
        <v>47</v>
      </c>
      <c r="H33" s="143">
        <v>0</v>
      </c>
      <c r="I33" s="143">
        <f t="shared" si="3"/>
        <v>281</v>
      </c>
      <c r="J33" s="144">
        <v>178</v>
      </c>
      <c r="K33" s="145">
        <f t="shared" si="4"/>
        <v>1</v>
      </c>
      <c r="L33" s="145">
        <f t="shared" si="5"/>
        <v>0.63345195729537362</v>
      </c>
      <c r="M33" s="142"/>
      <c r="N33" s="141"/>
      <c r="O33" s="141"/>
      <c r="P33" s="141"/>
    </row>
    <row r="34" spans="1:16" ht="30" customHeight="1" x14ac:dyDescent="0.2">
      <c r="A34" s="17" t="s">
        <v>17</v>
      </c>
      <c r="B34" s="16" t="s">
        <v>22</v>
      </c>
      <c r="C34" s="130">
        <v>45910</v>
      </c>
      <c r="D34" s="130">
        <v>45953</v>
      </c>
      <c r="E34" s="131" cm="1">
        <f t="array" ref="E34">SUM(INT((WEEKDAY(C34-{2,3,4,5,6})+D34-C34)/7))</f>
        <v>32</v>
      </c>
      <c r="F34" s="100"/>
      <c r="G34" s="111" t="s">
        <v>48</v>
      </c>
      <c r="H34" s="143">
        <v>426</v>
      </c>
      <c r="I34" s="144">
        <f t="shared" si="3"/>
        <v>2674</v>
      </c>
      <c r="J34" s="144">
        <v>1395</v>
      </c>
      <c r="K34" s="145">
        <f t="shared" si="4"/>
        <v>0.86258064516129029</v>
      </c>
      <c r="L34" s="145">
        <f t="shared" si="5"/>
        <v>0.45</v>
      </c>
      <c r="M34" s="142"/>
      <c r="N34" s="141"/>
      <c r="O34" s="141"/>
      <c r="P34" s="141"/>
    </row>
    <row r="35" spans="1:16" ht="30" customHeight="1" x14ac:dyDescent="0.2">
      <c r="A35" s="17" t="s">
        <v>17</v>
      </c>
      <c r="B35" s="16" t="s">
        <v>49</v>
      </c>
      <c r="C35" s="130">
        <v>45936</v>
      </c>
      <c r="D35" s="130">
        <v>45936</v>
      </c>
      <c r="E35" s="131" cm="1">
        <f t="array" ref="E35">SUM(INT((WEEKDAY(C35-{2,3,4,5,6})+D35-C35)/7))</f>
        <v>1</v>
      </c>
      <c r="F35" s="100"/>
      <c r="G35" s="111" t="s">
        <v>50</v>
      </c>
      <c r="H35" s="143">
        <v>741</v>
      </c>
      <c r="I35" s="144">
        <f t="shared" si="3"/>
        <v>305</v>
      </c>
      <c r="J35" s="144">
        <v>93</v>
      </c>
      <c r="K35" s="145">
        <f t="shared" si="4"/>
        <v>0.29158699808795413</v>
      </c>
      <c r="L35" s="145">
        <f t="shared" si="5"/>
        <v>8.8910133843212238E-2</v>
      </c>
      <c r="M35" s="142"/>
      <c r="N35" s="141"/>
      <c r="O35" s="141"/>
      <c r="P35" s="141"/>
    </row>
    <row r="36" spans="1:16" ht="30" customHeight="1" x14ac:dyDescent="0.2">
      <c r="A36" s="17" t="s">
        <v>17</v>
      </c>
      <c r="B36" s="16" t="s">
        <v>51</v>
      </c>
      <c r="C36" s="130">
        <v>45947</v>
      </c>
      <c r="D36" s="130">
        <v>45947</v>
      </c>
      <c r="E36" s="131" cm="1">
        <f t="array" ref="E36">SUM(INT((WEEKDAY(C36-{2,3,4,5,6})+D36-C36)/7))</f>
        <v>1</v>
      </c>
      <c r="F36" s="100"/>
      <c r="G36" s="111" t="s">
        <v>52</v>
      </c>
      <c r="H36" s="143">
        <v>16</v>
      </c>
      <c r="I36" s="144">
        <f t="shared" si="3"/>
        <v>552</v>
      </c>
      <c r="J36" s="144">
        <v>248</v>
      </c>
      <c r="K36" s="145">
        <f t="shared" si="4"/>
        <v>0.971830985915493</v>
      </c>
      <c r="L36" s="145">
        <f t="shared" si="5"/>
        <v>0.43661971830985913</v>
      </c>
      <c r="M36" s="142"/>
      <c r="N36" s="141"/>
      <c r="O36" s="141"/>
      <c r="P36" s="141"/>
    </row>
    <row r="37" spans="1:16" ht="30" customHeight="1" x14ac:dyDescent="0.2">
      <c r="A37" s="17" t="s">
        <v>17</v>
      </c>
      <c r="B37" s="16" t="s">
        <v>23</v>
      </c>
      <c r="C37" s="130">
        <v>45954</v>
      </c>
      <c r="D37" s="130">
        <v>45975</v>
      </c>
      <c r="E37" s="131" cm="1">
        <f t="array" ref="E37">SUM(INT((WEEKDAY(C37-{2,3,4,5,6})+D37-C37)/7))</f>
        <v>16</v>
      </c>
      <c r="F37" s="100"/>
      <c r="G37" s="111" t="s">
        <v>53</v>
      </c>
      <c r="H37" s="143"/>
      <c r="I37" s="144">
        <f t="shared" si="3"/>
        <v>426</v>
      </c>
      <c r="J37" s="144">
        <v>72</v>
      </c>
      <c r="K37" s="145">
        <f t="shared" si="4"/>
        <v>1</v>
      </c>
      <c r="L37" s="145">
        <f t="shared" si="5"/>
        <v>0.16901408450704225</v>
      </c>
      <c r="M37" s="142"/>
      <c r="N37" s="141"/>
      <c r="O37" s="141"/>
      <c r="P37" s="141"/>
    </row>
    <row r="38" spans="1:16" ht="30" customHeight="1" x14ac:dyDescent="0.2">
      <c r="A38" s="17" t="s">
        <v>17</v>
      </c>
      <c r="B38" s="16" t="s">
        <v>24</v>
      </c>
      <c r="C38" s="130"/>
      <c r="D38" s="130">
        <v>45978</v>
      </c>
      <c r="E38" s="131"/>
      <c r="F38" s="100"/>
      <c r="G38" s="111"/>
      <c r="H38" s="115"/>
      <c r="I38" s="140"/>
      <c r="J38" s="140"/>
      <c r="K38" s="141"/>
      <c r="L38" s="141"/>
      <c r="M38" s="142"/>
      <c r="N38" s="141"/>
      <c r="O38" s="141"/>
      <c r="P38" s="141"/>
    </row>
    <row r="39" spans="1:16" ht="30" customHeight="1" x14ac:dyDescent="0.2">
      <c r="A39" s="19" t="s">
        <v>26</v>
      </c>
      <c r="B39" s="85" t="s">
        <v>54</v>
      </c>
      <c r="C39" s="86">
        <v>45931</v>
      </c>
      <c r="D39" s="87">
        <v>45999</v>
      </c>
      <c r="E39" s="132" cm="1">
        <f t="array" ref="E39">SUM(INT((WEEKDAY(C39-{2,3,4,5,6})+D39-C39)/7))</f>
        <v>49</v>
      </c>
      <c r="F39" s="118">
        <v>5156</v>
      </c>
      <c r="G39" s="112" t="s">
        <v>55</v>
      </c>
      <c r="H39" s="119"/>
      <c r="I39" s="118">
        <f>G39-H39</f>
        <v>4889</v>
      </c>
      <c r="J39" s="118">
        <v>2293</v>
      </c>
      <c r="K39" s="120">
        <f>I39/G39</f>
        <v>1</v>
      </c>
      <c r="L39" s="120">
        <f>J39/G39</f>
        <v>0.46901206790754757</v>
      </c>
      <c r="M39" s="121"/>
      <c r="N39" s="128">
        <v>0.75</v>
      </c>
      <c r="O39" s="122">
        <f>G43/G39</f>
        <v>0.12067907547555737</v>
      </c>
      <c r="P39" s="122">
        <v>0.33</v>
      </c>
    </row>
    <row r="40" spans="1:16" ht="30" customHeight="1" x14ac:dyDescent="0.2">
      <c r="A40" s="19" t="s">
        <v>26</v>
      </c>
      <c r="B40" s="88" t="s">
        <v>19</v>
      </c>
      <c r="C40" s="133">
        <v>45931</v>
      </c>
      <c r="D40" s="133">
        <v>45945</v>
      </c>
      <c r="E40" s="134" cm="1">
        <f t="array" ref="E40">SUM(INT((WEEKDAY(C40-{2,3,4,5,6})+D40-C40)/7))</f>
        <v>11</v>
      </c>
      <c r="F40" s="98" t="s">
        <v>28</v>
      </c>
      <c r="G40" s="113" t="s">
        <v>56</v>
      </c>
      <c r="H40" s="123">
        <v>897</v>
      </c>
      <c r="I40" s="98">
        <f>G40-H40</f>
        <v>3351</v>
      </c>
      <c r="J40" s="98">
        <v>2007</v>
      </c>
      <c r="K40" s="126">
        <f>I40/G40</f>
        <v>0.78884180790960456</v>
      </c>
      <c r="L40" s="126">
        <f>J40/G40</f>
        <v>0.47245762711864409</v>
      </c>
      <c r="M40" s="98" t="s">
        <v>28</v>
      </c>
      <c r="N40" s="126"/>
      <c r="O40" s="126"/>
      <c r="P40" s="126"/>
    </row>
    <row r="41" spans="1:16" ht="30" customHeight="1" x14ac:dyDescent="0.2">
      <c r="A41" s="19" t="s">
        <v>26</v>
      </c>
      <c r="B41" s="88" t="s">
        <v>21</v>
      </c>
      <c r="C41" s="133">
        <v>45933</v>
      </c>
      <c r="D41" s="133">
        <v>45933</v>
      </c>
      <c r="E41" s="134" cm="1">
        <f t="array" ref="E41">SUM(INT((WEEKDAY(C41-{2,3,4,5,6})+D41-C41)/7))</f>
        <v>1</v>
      </c>
      <c r="F41" s="98" t="s">
        <v>28</v>
      </c>
      <c r="G41" s="113" t="s">
        <v>57</v>
      </c>
      <c r="H41" s="123">
        <v>0</v>
      </c>
      <c r="I41" s="98">
        <f>G41-H41</f>
        <v>376</v>
      </c>
      <c r="J41" s="98">
        <v>115</v>
      </c>
      <c r="K41" s="124">
        <f t="shared" ref="K41:K45" si="6">I41/G41</f>
        <v>1</v>
      </c>
      <c r="L41" s="124">
        <f>J41/G41</f>
        <v>0.30585106382978722</v>
      </c>
      <c r="M41" s="98" t="s">
        <v>28</v>
      </c>
      <c r="N41" s="125"/>
      <c r="O41" s="125"/>
      <c r="P41" s="125"/>
    </row>
    <row r="42" spans="1:16" ht="30" customHeight="1" x14ac:dyDescent="0.2">
      <c r="A42" s="19" t="s">
        <v>26</v>
      </c>
      <c r="B42" s="88" t="s">
        <v>29</v>
      </c>
      <c r="C42" s="133">
        <v>45931</v>
      </c>
      <c r="D42" s="133">
        <v>45992</v>
      </c>
      <c r="E42" s="134" cm="1">
        <f t="array" ref="E42">SUM(INT((WEEKDAY(C42-{2,3,4,5,6})+D42-C42)/7))</f>
        <v>44</v>
      </c>
      <c r="F42" s="99" t="s">
        <v>28</v>
      </c>
      <c r="G42" s="113" t="s">
        <v>58</v>
      </c>
      <c r="H42" s="123"/>
      <c r="I42" s="98">
        <f>G42-H42</f>
        <v>267</v>
      </c>
      <c r="J42" s="98"/>
      <c r="K42" s="124">
        <f t="shared" si="6"/>
        <v>1</v>
      </c>
      <c r="L42" s="124">
        <f>J42/G42</f>
        <v>0</v>
      </c>
      <c r="M42" s="98" t="s">
        <v>28</v>
      </c>
      <c r="N42" s="125"/>
      <c r="O42" s="125"/>
      <c r="P42" s="125"/>
    </row>
    <row r="43" spans="1:16" ht="30" customHeight="1" x14ac:dyDescent="0.2">
      <c r="A43" s="19" t="s">
        <v>26</v>
      </c>
      <c r="B43" s="88" t="s">
        <v>22</v>
      </c>
      <c r="C43" s="133">
        <v>45954</v>
      </c>
      <c r="D43" s="133">
        <v>45975</v>
      </c>
      <c r="E43" s="134" cm="1">
        <f t="array" ref="E43">SUM(INT((WEEKDAY(C43-{2,3,4,5,6})+D43-C43)/7))</f>
        <v>16</v>
      </c>
      <c r="F43" s="98" t="s">
        <v>28</v>
      </c>
      <c r="G43" s="127">
        <v>590</v>
      </c>
      <c r="H43" s="123">
        <v>45</v>
      </c>
      <c r="I43" s="98">
        <f t="shared" ref="I43:I44" si="7">G43-H43</f>
        <v>545</v>
      </c>
      <c r="J43" s="98">
        <v>402</v>
      </c>
      <c r="K43" s="124">
        <f t="shared" si="6"/>
        <v>0.92372881355932202</v>
      </c>
      <c r="L43" s="124">
        <f>J43/G43</f>
        <v>0.68135593220338986</v>
      </c>
      <c r="M43" s="98" t="s">
        <v>28</v>
      </c>
      <c r="N43" s="126"/>
      <c r="O43" s="126"/>
      <c r="P43" s="126"/>
    </row>
    <row r="44" spans="1:16" ht="30" customHeight="1" x14ac:dyDescent="0.2">
      <c r="A44" s="19" t="s">
        <v>26</v>
      </c>
      <c r="B44" s="88" t="s">
        <v>51</v>
      </c>
      <c r="C44" s="133">
        <v>45966</v>
      </c>
      <c r="D44" s="133">
        <v>45966</v>
      </c>
      <c r="E44" s="134" cm="1">
        <f t="array" ref="E44">SUM(INT((WEEKDAY(C44-{2,3,4,5,6})+D44-C44)/7))</f>
        <v>1</v>
      </c>
      <c r="F44" s="98" t="s">
        <v>20</v>
      </c>
      <c r="G44" s="127">
        <v>719</v>
      </c>
      <c r="H44" s="123">
        <v>15</v>
      </c>
      <c r="I44" s="98">
        <f t="shared" si="7"/>
        <v>704</v>
      </c>
      <c r="J44" s="98">
        <v>222</v>
      </c>
      <c r="K44" s="124">
        <f t="shared" si="6"/>
        <v>0.97913769123783034</v>
      </c>
      <c r="L44" s="124">
        <f>(J44)/(G44)</f>
        <v>0.30876216968011128</v>
      </c>
      <c r="M44" s="98"/>
      <c r="N44" s="126"/>
      <c r="O44" s="126"/>
      <c r="P44" s="126"/>
    </row>
    <row r="45" spans="1:16" ht="30" customHeight="1" x14ac:dyDescent="0.2">
      <c r="A45" s="19" t="s">
        <v>26</v>
      </c>
      <c r="B45" s="88" t="s">
        <v>23</v>
      </c>
      <c r="C45" s="133">
        <v>45978</v>
      </c>
      <c r="D45" s="133">
        <v>45996</v>
      </c>
      <c r="E45" s="134" cm="1">
        <f t="array" ref="E45">SUM(INT((WEEKDAY(C45-{2,3,4,5,6})+D45-C45)/7))</f>
        <v>15</v>
      </c>
      <c r="F45" s="98" t="s">
        <v>28</v>
      </c>
      <c r="G45" s="113" t="s">
        <v>59</v>
      </c>
      <c r="H45" s="123"/>
      <c r="I45" s="98">
        <v>39</v>
      </c>
      <c r="J45" s="98">
        <v>6</v>
      </c>
      <c r="K45" s="124">
        <f t="shared" si="6"/>
        <v>1</v>
      </c>
      <c r="L45" s="124">
        <f t="shared" ref="L45" si="8">J45/G45</f>
        <v>0.15384615384615385</v>
      </c>
      <c r="M45" s="98" t="s">
        <v>28</v>
      </c>
      <c r="N45" s="126"/>
      <c r="O45" s="126"/>
      <c r="P45" s="126"/>
    </row>
    <row r="46" spans="1:16" ht="30" customHeight="1" x14ac:dyDescent="0.2">
      <c r="A46" s="19" t="s">
        <v>26</v>
      </c>
      <c r="B46" s="88" t="s">
        <v>24</v>
      </c>
      <c r="C46" s="133"/>
      <c r="D46" s="133">
        <v>45999</v>
      </c>
      <c r="E46" s="134"/>
      <c r="F46" s="98"/>
      <c r="G46" s="113"/>
      <c r="H46" s="123"/>
      <c r="I46" s="136"/>
      <c r="J46" s="136"/>
      <c r="K46" s="138"/>
      <c r="L46" s="138"/>
      <c r="M46" s="139"/>
      <c r="N46" s="138"/>
      <c r="O46" s="138"/>
      <c r="P46" s="138"/>
    </row>
    <row r="47" spans="1:16" ht="30" customHeight="1" x14ac:dyDescent="0.2">
      <c r="A47" s="17" t="s">
        <v>17</v>
      </c>
      <c r="B47" s="15" t="s">
        <v>60</v>
      </c>
      <c r="C47" s="55">
        <v>45994</v>
      </c>
      <c r="D47" s="55">
        <v>46031</v>
      </c>
      <c r="E47" s="54" cm="1">
        <f t="array" ref="E47">SUM(INT((WEEKDAY(C47-{2,3,4,5,6})+D47-C47)/7))</f>
        <v>28</v>
      </c>
      <c r="F47" s="105">
        <v>10065</v>
      </c>
      <c r="G47" s="103" t="s">
        <v>61</v>
      </c>
      <c r="H47" s="104"/>
      <c r="I47" s="105">
        <f>G47-H47</f>
        <v>10012</v>
      </c>
      <c r="J47" s="105">
        <v>4959</v>
      </c>
      <c r="K47" s="108">
        <f>I47/G47</f>
        <v>1</v>
      </c>
      <c r="L47" s="106">
        <f>J47/G47</f>
        <v>0.49530563324011184</v>
      </c>
      <c r="M47" s="107"/>
      <c r="N47" s="108">
        <v>0.76</v>
      </c>
      <c r="O47" s="108">
        <f>G50/G47</f>
        <v>0.26917698761486214</v>
      </c>
      <c r="P47" s="108">
        <v>0.42</v>
      </c>
    </row>
    <row r="48" spans="1:16" ht="30" customHeight="1" x14ac:dyDescent="0.2">
      <c r="A48" s="17" t="s">
        <v>17</v>
      </c>
      <c r="B48" s="16" t="s">
        <v>19</v>
      </c>
      <c r="C48" s="130">
        <v>45994</v>
      </c>
      <c r="D48" s="130">
        <v>46008</v>
      </c>
      <c r="E48" s="131" cm="1">
        <f t="array" ref="E48">SUM(INT((WEEKDAY(C48-{2,3,4,5,6})+D48-C48)/7))</f>
        <v>11</v>
      </c>
      <c r="F48" s="100" t="s">
        <v>34</v>
      </c>
      <c r="G48" s="100">
        <v>7727</v>
      </c>
      <c r="H48" s="115">
        <v>1283</v>
      </c>
      <c r="I48" s="140">
        <f>G48-H48</f>
        <v>6444</v>
      </c>
      <c r="J48" s="140">
        <v>3548</v>
      </c>
      <c r="K48" s="141">
        <f>I48/G48</f>
        <v>0.8339588456063155</v>
      </c>
      <c r="L48" s="141">
        <f>J48/G48</f>
        <v>0.45916914714636986</v>
      </c>
      <c r="M48" s="142"/>
      <c r="N48" s="141"/>
      <c r="O48" s="141"/>
      <c r="P48" s="141"/>
    </row>
    <row r="49" spans="1:16" ht="30" customHeight="1" x14ac:dyDescent="0.2">
      <c r="A49" s="17" t="s">
        <v>17</v>
      </c>
      <c r="B49" s="16" t="s">
        <v>21</v>
      </c>
      <c r="C49" s="130">
        <v>45996</v>
      </c>
      <c r="D49" s="130">
        <v>45996</v>
      </c>
      <c r="E49" s="131" cm="1">
        <f t="array" ref="E49">SUM(INT((WEEKDAY(C49-{2,3,4,5,6})+D49-C49)/7))</f>
        <v>1</v>
      </c>
      <c r="F49" s="100" t="s">
        <v>34</v>
      </c>
      <c r="G49" s="100">
        <v>293</v>
      </c>
      <c r="H49" s="115">
        <v>0</v>
      </c>
      <c r="I49" s="100">
        <f>G49-H49</f>
        <v>293</v>
      </c>
      <c r="J49" s="100">
        <v>172</v>
      </c>
      <c r="K49" s="116">
        <f>I49/G49</f>
        <v>1</v>
      </c>
      <c r="L49" s="116">
        <f>J49/G49</f>
        <v>0.58703071672354945</v>
      </c>
      <c r="M49" s="142"/>
      <c r="N49" s="141"/>
      <c r="O49" s="141"/>
      <c r="P49" s="141"/>
    </row>
    <row r="50" spans="1:16" ht="30" customHeight="1" x14ac:dyDescent="0.2">
      <c r="A50" s="17" t="s">
        <v>17</v>
      </c>
      <c r="B50" s="16" t="s">
        <v>22</v>
      </c>
      <c r="C50" s="130">
        <v>45994</v>
      </c>
      <c r="D50" s="130">
        <v>46031</v>
      </c>
      <c r="E50" s="131" cm="1">
        <f t="array" ref="E50">SUM(INT((WEEKDAY(C50-{2,3,4,5,6})+D50-C50)/7))</f>
        <v>28</v>
      </c>
      <c r="F50" s="100" t="s">
        <v>34</v>
      </c>
      <c r="G50" s="100">
        <v>2695</v>
      </c>
      <c r="H50" s="115">
        <v>367</v>
      </c>
      <c r="I50" s="100">
        <f>G50-H50</f>
        <v>2328</v>
      </c>
      <c r="J50" s="100">
        <v>1163</v>
      </c>
      <c r="K50" s="116">
        <f>I50/G50</f>
        <v>0.86382189239332097</v>
      </c>
      <c r="L50" s="116">
        <f t="shared" ref="L50:L51" si="9">J50/G50</f>
        <v>0.43153988868274584</v>
      </c>
      <c r="M50" s="142"/>
      <c r="N50" s="141"/>
      <c r="O50" s="141"/>
      <c r="P50" s="141"/>
    </row>
    <row r="51" spans="1:16" ht="30" customHeight="1" x14ac:dyDescent="0.2">
      <c r="A51" s="17" t="s">
        <v>17</v>
      </c>
      <c r="B51" s="16" t="s">
        <v>51</v>
      </c>
      <c r="C51" s="130">
        <v>46008</v>
      </c>
      <c r="D51" s="130">
        <v>46008</v>
      </c>
      <c r="E51" s="131" cm="1">
        <f t="array" ref="E51">SUM(INT((WEEKDAY(C51-{2,3,4,5,6})+D51-C51)/7))</f>
        <v>1</v>
      </c>
      <c r="F51" s="100" t="s">
        <v>34</v>
      </c>
      <c r="G51" s="100">
        <v>940</v>
      </c>
      <c r="H51" s="115">
        <v>56</v>
      </c>
      <c r="I51" s="100">
        <f>G51-H51</f>
        <v>884</v>
      </c>
      <c r="J51" s="100">
        <v>308</v>
      </c>
      <c r="K51" s="116">
        <f>I51/G51</f>
        <v>0.94042553191489364</v>
      </c>
      <c r="L51" s="116">
        <f t="shared" si="9"/>
        <v>0.32765957446808508</v>
      </c>
      <c r="M51" s="142"/>
      <c r="N51" s="141"/>
      <c r="O51" s="141"/>
      <c r="P51" s="141"/>
    </row>
    <row r="52" spans="1:16" ht="30" customHeight="1" x14ac:dyDescent="0.2">
      <c r="A52" s="17" t="s">
        <v>17</v>
      </c>
      <c r="B52" s="16" t="s">
        <v>23</v>
      </c>
      <c r="C52" s="130" t="s">
        <v>34</v>
      </c>
      <c r="D52" s="130" t="s">
        <v>34</v>
      </c>
      <c r="E52" s="131" t="s">
        <v>34</v>
      </c>
      <c r="F52" s="100" t="s">
        <v>34</v>
      </c>
      <c r="G52" s="111" t="s">
        <v>34</v>
      </c>
      <c r="H52" s="115" t="s">
        <v>34</v>
      </c>
      <c r="I52" s="100" t="s">
        <v>34</v>
      </c>
      <c r="J52" s="100" t="s">
        <v>34</v>
      </c>
      <c r="K52" s="116" t="s">
        <v>34</v>
      </c>
      <c r="L52" s="116" t="s">
        <v>34</v>
      </c>
      <c r="M52" s="117"/>
      <c r="N52" s="116"/>
      <c r="O52" s="116"/>
      <c r="P52" s="116"/>
    </row>
    <row r="53" spans="1:16" ht="30" customHeight="1" x14ac:dyDescent="0.2">
      <c r="A53" s="17" t="s">
        <v>17</v>
      </c>
      <c r="B53" s="16" t="s">
        <v>24</v>
      </c>
      <c r="C53" s="130"/>
      <c r="D53" s="130">
        <v>46031</v>
      </c>
      <c r="E53" s="131"/>
      <c r="F53" s="100"/>
      <c r="G53" s="111"/>
      <c r="H53" s="115"/>
      <c r="I53" s="140"/>
      <c r="J53" s="140"/>
      <c r="K53" s="141"/>
      <c r="L53" s="141"/>
      <c r="M53" s="142"/>
      <c r="N53" s="141"/>
      <c r="O53" s="141"/>
      <c r="P53" s="141"/>
    </row>
  </sheetData>
  <autoFilter ref="A4:P10" xr:uid="{00000000-0001-0000-0000-000000000000}"/>
  <printOptions horizontalCentered="1"/>
  <pageMargins left="0.35" right="0.35" top="0.35" bottom="0.5" header="0.3" footer="0.3"/>
  <pageSetup scale="57"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143C-933C-4459-86B5-7DD7A885F74C}">
  <dimension ref="A1:C15"/>
  <sheetViews>
    <sheetView showGridLines="0" tabSelected="1" workbookViewId="0">
      <selection sqref="A1:C14"/>
    </sheetView>
  </sheetViews>
  <sheetFormatPr defaultRowHeight="14.25" x14ac:dyDescent="0.2"/>
  <cols>
    <col min="1" max="1" width="38.625" customWidth="1"/>
    <col min="2" max="2" width="96.5" customWidth="1"/>
    <col min="3" max="3" width="112.125" bestFit="1" customWidth="1"/>
  </cols>
  <sheetData>
    <row r="1" spans="1:3" s="68" customFormat="1" ht="15" x14ac:dyDescent="0.25">
      <c r="A1" s="71" t="s">
        <v>62</v>
      </c>
      <c r="B1" s="72" t="s">
        <v>63</v>
      </c>
      <c r="C1" s="73" t="s">
        <v>64</v>
      </c>
    </row>
    <row r="2" spans="1:3" ht="90" x14ac:dyDescent="0.2">
      <c r="A2" s="74" t="s">
        <v>6</v>
      </c>
      <c r="B2" s="69" t="s">
        <v>65</v>
      </c>
      <c r="C2" s="75" t="s">
        <v>66</v>
      </c>
    </row>
    <row r="3" spans="1:3" ht="15" x14ac:dyDescent="0.2">
      <c r="A3" s="74" t="s">
        <v>7</v>
      </c>
      <c r="B3" s="69" t="s">
        <v>67</v>
      </c>
      <c r="C3" s="75" t="s">
        <v>68</v>
      </c>
    </row>
    <row r="4" spans="1:3" ht="60" x14ac:dyDescent="0.2">
      <c r="A4" s="76" t="s">
        <v>8</v>
      </c>
      <c r="B4" s="69" t="s">
        <v>69</v>
      </c>
      <c r="C4" s="75" t="s">
        <v>70</v>
      </c>
    </row>
    <row r="5" spans="1:3" ht="15" x14ac:dyDescent="0.2">
      <c r="A5" s="76" t="s">
        <v>71</v>
      </c>
      <c r="B5" s="69" t="s">
        <v>72</v>
      </c>
      <c r="C5" s="75" t="s">
        <v>73</v>
      </c>
    </row>
    <row r="6" spans="1:3" x14ac:dyDescent="0.2">
      <c r="A6" s="74" t="s">
        <v>9</v>
      </c>
      <c r="B6" s="70" t="str">
        <f>A6</f>
        <v>Actual Outreach</v>
      </c>
      <c r="C6" s="75" t="s">
        <v>74</v>
      </c>
    </row>
    <row r="7" spans="1:3" x14ac:dyDescent="0.2">
      <c r="A7" s="74" t="s">
        <v>10</v>
      </c>
      <c r="B7" s="70" t="str">
        <f>A7</f>
        <v>Actual responses</v>
      </c>
      <c r="C7" s="75"/>
    </row>
    <row r="8" spans="1:3" ht="15" x14ac:dyDescent="0.2">
      <c r="A8" s="77" t="s">
        <v>11</v>
      </c>
      <c r="B8" s="69" t="s">
        <v>75</v>
      </c>
      <c r="C8" s="75"/>
    </row>
    <row r="9" spans="1:3" ht="15" x14ac:dyDescent="0.2">
      <c r="A9" s="78" t="s">
        <v>12</v>
      </c>
      <c r="B9" s="69" t="s">
        <v>76</v>
      </c>
      <c r="C9" s="75"/>
    </row>
    <row r="10" spans="1:3" ht="71.25" customHeight="1" x14ac:dyDescent="0.2">
      <c r="A10" s="79" t="s">
        <v>77</v>
      </c>
      <c r="B10" s="69" t="s">
        <v>78</v>
      </c>
      <c r="C10" s="84" t="s">
        <v>79</v>
      </c>
    </row>
    <row r="11" spans="1:3" ht="25.5" x14ac:dyDescent="0.2">
      <c r="A11" s="80" t="s">
        <v>14</v>
      </c>
      <c r="B11" s="69" t="s">
        <v>80</v>
      </c>
      <c r="C11" s="75"/>
    </row>
    <row r="12" spans="1:3" ht="15" x14ac:dyDescent="0.2">
      <c r="A12" s="80" t="s">
        <v>81</v>
      </c>
      <c r="B12" s="69" t="s">
        <v>82</v>
      </c>
      <c r="C12" s="75" t="s">
        <v>83</v>
      </c>
    </row>
    <row r="13" spans="1:3" ht="15" x14ac:dyDescent="0.2">
      <c r="A13" s="80" t="s">
        <v>15</v>
      </c>
      <c r="B13" s="69" t="s">
        <v>84</v>
      </c>
      <c r="C13" s="75" t="s">
        <v>85</v>
      </c>
    </row>
    <row r="14" spans="1:3" ht="57.75" thickBot="1" x14ac:dyDescent="0.25">
      <c r="A14" s="81" t="s">
        <v>16</v>
      </c>
      <c r="B14" s="82" t="s">
        <v>86</v>
      </c>
      <c r="C14" s="83" t="s">
        <v>87</v>
      </c>
    </row>
    <row r="15" spans="1:3" x14ac:dyDescent="0.2">
      <c r="C15" s="6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6E881-A00C-436D-8167-B59B4B7C5ECF}">
  <dimension ref="B4:M26"/>
  <sheetViews>
    <sheetView showGridLines="0" zoomScale="91" zoomScaleNormal="91" workbookViewId="0">
      <selection activeCell="O11" sqref="O11"/>
    </sheetView>
  </sheetViews>
  <sheetFormatPr defaultRowHeight="14.25" x14ac:dyDescent="0.2"/>
  <cols>
    <col min="2" max="2" width="21.25" customWidth="1"/>
    <col min="3" max="3" width="14.5" customWidth="1"/>
    <col min="7" max="7" width="10.25" customWidth="1"/>
    <col min="13" max="13" width="20.875" customWidth="1"/>
  </cols>
  <sheetData>
    <row r="4" spans="2:13" s="49" customFormat="1" ht="18" x14ac:dyDescent="0.25">
      <c r="B4" s="49" t="s">
        <v>88</v>
      </c>
    </row>
    <row r="6" spans="2:13" ht="38.25" x14ac:dyDescent="0.25">
      <c r="B6" s="31" t="s">
        <v>89</v>
      </c>
      <c r="C6" s="56" t="s">
        <v>90</v>
      </c>
      <c r="D6" s="32" t="s">
        <v>6</v>
      </c>
      <c r="E6" s="32" t="s">
        <v>8</v>
      </c>
      <c r="F6" s="33" t="s">
        <v>9</v>
      </c>
      <c r="G6" s="33" t="s">
        <v>10</v>
      </c>
      <c r="H6" s="34" t="s">
        <v>13</v>
      </c>
      <c r="I6" s="14" t="s">
        <v>11</v>
      </c>
      <c r="J6" s="14" t="s">
        <v>12</v>
      </c>
      <c r="K6" s="35" t="s">
        <v>14</v>
      </c>
      <c r="L6" s="14" t="s">
        <v>16</v>
      </c>
    </row>
    <row r="7" spans="2:13" x14ac:dyDescent="0.2">
      <c r="B7" s="19" t="s">
        <v>91</v>
      </c>
      <c r="C7" s="19"/>
      <c r="D7" s="36">
        <v>8564</v>
      </c>
      <c r="E7" s="36">
        <v>444</v>
      </c>
      <c r="F7" s="36">
        <v>8120</v>
      </c>
      <c r="G7" s="37">
        <v>4047</v>
      </c>
      <c r="H7" s="38">
        <v>2661</v>
      </c>
      <c r="I7" s="20">
        <v>0.94815506772536196</v>
      </c>
      <c r="J7" s="20">
        <v>0.4983990147783251</v>
      </c>
      <c r="K7" s="39">
        <v>0.65752409191994066</v>
      </c>
      <c r="L7" s="40">
        <v>22558.170000000002</v>
      </c>
    </row>
    <row r="8" spans="2:13" x14ac:dyDescent="0.2">
      <c r="B8" s="19" t="s">
        <v>25</v>
      </c>
      <c r="C8" s="19"/>
      <c r="D8" s="41">
        <v>4975</v>
      </c>
      <c r="E8" s="41">
        <v>857</v>
      </c>
      <c r="F8" s="41">
        <v>4775</v>
      </c>
      <c r="G8" s="41">
        <v>1635</v>
      </c>
      <c r="H8" s="42">
        <v>355</v>
      </c>
      <c r="I8" s="21">
        <v>0.95979899497487442</v>
      </c>
      <c r="J8" s="21">
        <v>0.3424083769633508</v>
      </c>
      <c r="K8" s="43">
        <v>0.21712538226299694</v>
      </c>
      <c r="L8" s="44">
        <v>9538.24</v>
      </c>
    </row>
    <row r="9" spans="2:13" x14ac:dyDescent="0.2">
      <c r="B9" s="19" t="s">
        <v>92</v>
      </c>
      <c r="C9" s="19"/>
      <c r="D9" s="45">
        <v>4792</v>
      </c>
      <c r="E9" s="45">
        <v>455</v>
      </c>
      <c r="F9" s="45">
        <v>4592</v>
      </c>
      <c r="G9" s="45">
        <v>3346</v>
      </c>
      <c r="H9" s="46">
        <v>2371</v>
      </c>
      <c r="I9" s="22">
        <v>0.95826377295492482</v>
      </c>
      <c r="J9" s="22">
        <v>0.72865853658536583</v>
      </c>
      <c r="K9" s="47">
        <v>0.70860729228930064</v>
      </c>
      <c r="L9" s="48">
        <v>9736.7000000000007</v>
      </c>
    </row>
    <row r="10" spans="2:13" x14ac:dyDescent="0.2">
      <c r="L10" s="58">
        <f>SUM(L7:L9)</f>
        <v>41833.11</v>
      </c>
    </row>
    <row r="13" spans="2:13" ht="18" x14ac:dyDescent="0.25">
      <c r="B13" s="49" t="s">
        <v>93</v>
      </c>
      <c r="C13" s="49"/>
    </row>
    <row r="14" spans="2:13" x14ac:dyDescent="0.2">
      <c r="B14" t="s">
        <v>94</v>
      </c>
    </row>
    <row r="15" spans="2:13" ht="38.25" x14ac:dyDescent="0.25">
      <c r="B15" s="31" t="s">
        <v>89</v>
      </c>
      <c r="C15" s="56" t="s">
        <v>90</v>
      </c>
      <c r="D15" s="32" t="s">
        <v>6</v>
      </c>
      <c r="E15" s="32" t="s">
        <v>8</v>
      </c>
      <c r="F15" s="33" t="s">
        <v>9</v>
      </c>
      <c r="G15" s="33" t="s">
        <v>10</v>
      </c>
      <c r="H15" s="34" t="s">
        <v>13</v>
      </c>
      <c r="I15" s="14" t="s">
        <v>11</v>
      </c>
      <c r="J15" s="14" t="s">
        <v>12</v>
      </c>
      <c r="K15" s="35" t="s">
        <v>14</v>
      </c>
      <c r="L15" s="14" t="s">
        <v>16</v>
      </c>
      <c r="M15" s="57"/>
    </row>
    <row r="16" spans="2:13" x14ac:dyDescent="0.2">
      <c r="B16" s="19" t="s">
        <v>95</v>
      </c>
      <c r="C16" s="36">
        <v>9407</v>
      </c>
      <c r="D16" s="36">
        <v>9362</v>
      </c>
      <c r="E16" s="36"/>
      <c r="F16" s="36">
        <v>9362</v>
      </c>
      <c r="G16" s="37">
        <v>6032</v>
      </c>
      <c r="H16" s="38">
        <v>4494</v>
      </c>
      <c r="I16" s="20">
        <f>F16/D16</f>
        <v>1</v>
      </c>
      <c r="J16" s="20">
        <f>G16/F16</f>
        <v>0.64430677205725273</v>
      </c>
      <c r="K16" s="39">
        <f t="shared" ref="J16:K18" si="0">H16/G16</f>
        <v>0.74502652519893897</v>
      </c>
      <c r="L16" s="40">
        <v>31164.41</v>
      </c>
    </row>
    <row r="17" spans="2:12" x14ac:dyDescent="0.2">
      <c r="B17" s="19" t="s">
        <v>96</v>
      </c>
      <c r="C17" s="41">
        <v>9011</v>
      </c>
      <c r="D17" s="41">
        <v>7490</v>
      </c>
      <c r="E17" s="41">
        <v>139</v>
      </c>
      <c r="F17" s="41">
        <f>D17-E17</f>
        <v>7351</v>
      </c>
      <c r="G17" s="41">
        <v>2250</v>
      </c>
      <c r="H17" s="42">
        <v>658</v>
      </c>
      <c r="I17" s="21">
        <f>F17/D17</f>
        <v>0.98144192256341789</v>
      </c>
      <c r="J17" s="21">
        <f t="shared" si="0"/>
        <v>0.30608080533260779</v>
      </c>
      <c r="K17" s="43">
        <f t="shared" si="0"/>
        <v>0.29244444444444445</v>
      </c>
      <c r="L17" s="44">
        <v>25979.75</v>
      </c>
    </row>
    <row r="18" spans="2:12" x14ac:dyDescent="0.2">
      <c r="B18" s="19" t="s">
        <v>97</v>
      </c>
      <c r="C18" s="45">
        <v>5151</v>
      </c>
      <c r="D18" s="45">
        <v>4837</v>
      </c>
      <c r="E18" s="45">
        <v>0</v>
      </c>
      <c r="F18" s="45">
        <v>4837</v>
      </c>
      <c r="G18" s="45">
        <v>2247</v>
      </c>
      <c r="H18" s="46">
        <v>1735</v>
      </c>
      <c r="I18" s="22">
        <f>F18/D18</f>
        <v>1</v>
      </c>
      <c r="J18" s="22">
        <f t="shared" si="0"/>
        <v>0.4645441389290883</v>
      </c>
      <c r="K18" s="47">
        <f t="shared" si="0"/>
        <v>0.77214063195371607</v>
      </c>
      <c r="L18" s="48">
        <v>4203.34</v>
      </c>
    </row>
    <row r="19" spans="2:12" x14ac:dyDescent="0.2">
      <c r="L19">
        <f>SUM(L16:L18)</f>
        <v>61347.5</v>
      </c>
    </row>
    <row r="21" spans="2:12" ht="18" x14ac:dyDescent="0.25">
      <c r="B21" s="49" t="s">
        <v>98</v>
      </c>
      <c r="C21" s="49"/>
    </row>
    <row r="22" spans="2:12" x14ac:dyDescent="0.2">
      <c r="B22" t="s">
        <v>94</v>
      </c>
    </row>
    <row r="23" spans="2:12" ht="38.25" x14ac:dyDescent="0.25">
      <c r="B23" s="31" t="s">
        <v>89</v>
      </c>
      <c r="C23" s="56" t="s">
        <v>90</v>
      </c>
      <c r="D23" s="32" t="s">
        <v>6</v>
      </c>
      <c r="E23" s="32" t="s">
        <v>8</v>
      </c>
      <c r="F23" s="33" t="s">
        <v>9</v>
      </c>
      <c r="G23" s="33" t="s">
        <v>10</v>
      </c>
      <c r="H23" s="34" t="s">
        <v>13</v>
      </c>
      <c r="I23" s="14" t="s">
        <v>11</v>
      </c>
      <c r="J23" s="14" t="s">
        <v>12</v>
      </c>
      <c r="K23" s="35" t="s">
        <v>14</v>
      </c>
      <c r="L23" s="14" t="s">
        <v>16</v>
      </c>
    </row>
    <row r="24" spans="2:12" x14ac:dyDescent="0.2">
      <c r="B24" s="19" t="s">
        <v>99</v>
      </c>
      <c r="C24" s="36"/>
      <c r="D24" s="36">
        <v>9434</v>
      </c>
      <c r="E24" s="36"/>
      <c r="F24" s="36"/>
      <c r="G24" s="37">
        <v>4986</v>
      </c>
      <c r="H24" s="38"/>
      <c r="I24" s="20">
        <f>F24/D24</f>
        <v>0</v>
      </c>
      <c r="J24" s="20">
        <f>G24/D24</f>
        <v>0.52851388594445625</v>
      </c>
      <c r="K24" s="39">
        <f>H24/G24</f>
        <v>0</v>
      </c>
      <c r="L24" s="40"/>
    </row>
    <row r="25" spans="2:12" x14ac:dyDescent="0.2">
      <c r="B25" s="19" t="s">
        <v>100</v>
      </c>
      <c r="C25" s="41"/>
      <c r="D25" s="41">
        <v>8115</v>
      </c>
      <c r="E25" s="41"/>
      <c r="F25" s="41"/>
      <c r="G25" s="41">
        <v>1582</v>
      </c>
      <c r="H25" s="42"/>
      <c r="I25" s="21">
        <f>F25/D25</f>
        <v>0</v>
      </c>
      <c r="J25" s="21">
        <f>G25/D25</f>
        <v>0.19494762784966113</v>
      </c>
      <c r="K25" s="43">
        <f>H25/G25</f>
        <v>0</v>
      </c>
      <c r="L25" s="44"/>
    </row>
    <row r="26" spans="2:12" x14ac:dyDescent="0.2">
      <c r="B26" s="19" t="s">
        <v>101</v>
      </c>
      <c r="C26" s="45"/>
      <c r="D26" s="45">
        <v>4978</v>
      </c>
      <c r="E26" s="45"/>
      <c r="F26" s="45"/>
      <c r="G26" s="45">
        <v>2868</v>
      </c>
      <c r="H26" s="46"/>
      <c r="I26" s="22">
        <f>F26/D26</f>
        <v>0</v>
      </c>
      <c r="J26" s="22">
        <f>G26/D26</f>
        <v>0.57613499397348333</v>
      </c>
      <c r="K26" s="47">
        <f>H26/G26</f>
        <v>0</v>
      </c>
      <c r="L26" s="48"/>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2.xml><?xml version="1.0" encoding="utf-8"?>
<?mso-contentType ?>
<p:Policy xmlns:p="office.server.policy" id="" local="true">
  <p:Name>BCBSMA Document</p:Name>
  <p:Description/>
  <p:Statement/>
  <p:PolicyItems>
    <p:PolicyItem featureId="Microsoft.Office.RecordsManagement.PolicyFeatures.PolicyAudit" staticId="0x0101000035737AB6083049AA462DE1D83AFD48|8138272" UniqueId="1ff150e7-08a8-48f0-9d97-545752ec9f56">
      <p:Name>Auditing</p:Name>
      <p:Description>Audits user actions on documents and list items to the Audit Log.</p:Description>
      <p:CustomData>
        <Audit>
          <Update/>
          <View/>
          <CheckInOut/>
          <MoveCopy/>
          <DeleteRestore/>
        </Audit>
      </p:CustomData>
    </p:PolicyItem>
  </p:PolicyItems>
</p:Policy>
</file>

<file path=customXml/item3.xml><?xml version="1.0" encoding="utf-8"?>
<?mso-contentType ?>
<SharedContentType xmlns="Microsoft.SharePoint.Taxonomy.ContentTypeSync" SourceId="fae7a88e-8eb5-43a8-b64a-a0fde5534205" ContentTypeId="0x0101000035737AB6083049AA462DE1D83AFD4801" PreviousValue="false"/>
</file>

<file path=customXml/item4.xml><?xml version="1.0" encoding="utf-8"?>
<ct:contentTypeSchema xmlns:ct="http://schemas.microsoft.com/office/2006/metadata/contentType" xmlns:ma="http://schemas.microsoft.com/office/2006/metadata/properties/metaAttributes" ct:_="" ma:_="" ma:contentTypeName="Worksite Document" ma:contentTypeID="0x0101000035737AB6083049AA462DE1D83AFD48010021888D9E6B321A45999B9582E7987E11" ma:contentTypeVersion="37" ma:contentTypeDescription="" ma:contentTypeScope="" ma:versionID="d9568e9c5403f6a99c97460444ab027b">
  <xsd:schema xmlns:xsd="http://www.w3.org/2001/XMLSchema" xmlns:xs="http://www.w3.org/2001/XMLSchema" xmlns:p="http://schemas.microsoft.com/office/2006/metadata/properties" xmlns:ns1="http://schemas.microsoft.com/sharepoint/v3" xmlns:ns2="e9829bc0-9c9d-4291-88f5-cbdae5171fe6" targetNamespace="http://schemas.microsoft.com/office/2006/metadata/properties" ma:root="true" ma:fieldsID="879097d673836a9db9e5a442de9c048d" ns1:_="" ns2:_="">
    <xsd:import namespace="http://schemas.microsoft.com/sharepoint/v3"/>
    <xsd:import namespace="e9829bc0-9c9d-4291-88f5-cbdae5171fe6"/>
    <xsd:element name="properties">
      <xsd:complexType>
        <xsd:sequence>
          <xsd:element name="documentManagement">
            <xsd:complexType>
              <xsd:all>
                <xsd:element ref="ns2:_dlc_DocId" minOccurs="0"/>
                <xsd:element ref="ns2:_dlc_DocIdUrl" minOccurs="0"/>
                <xsd:element ref="ns2:_dlc_DocIdPersistId" minOccurs="0"/>
                <xsd:element ref="ns2:WorksiteID" minOccurs="0"/>
                <xsd:element ref="ns1:_dlc_ExpireDateSaved" minOccurs="0"/>
                <xsd:element ref="ns1:_dlc_ExpireDate" minOccurs="0"/>
                <xsd:element ref="ns1:_dlc_Exemp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pireDateSaved" ma:index="12" nillable="true" ma:displayName="Original Expiration Date" ma:description="" ma:hidden="true" ma:internalName="_dlc_ExpireDateSaved" ma:readOnly="true">
      <xsd:simpleType>
        <xsd:restriction base="dms:DateTime"/>
      </xsd:simpleType>
    </xsd:element>
    <xsd:element name="_dlc_ExpireDate" ma:index="13" nillable="true" ma:displayName="Expiration Date" ma:description="" ma:hidden="true" ma:internalName="_dlc_ExpireDate" ma:readOnly="true">
      <xsd:simpleType>
        <xsd:restriction base="dms:DateTime"/>
      </xsd:simpleType>
    </xsd:element>
    <xsd:element name="_dlc_Exempt" ma:index="14" nillable="true" ma:displayName="Exempt from Policy" ma:description=""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829bc0-9c9d-4291-88f5-cbdae5171fe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WorksiteID" ma:index="11" nillable="true" ma:displayName="WorksiteID" ma:hidden="true" ma:internalName="WorksiteID"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WorksiteID xmlns="e9829bc0-9c9d-4291-88f5-cbdae5171fe6" xsi:nil="true"/>
    <_dlc_DocId xmlns="e9829bc0-9c9d-4291-88f5-cbdae5171fe6">ITID-1458093970-848</_dlc_DocId>
    <_dlc_DocIdUrl xmlns="e9829bc0-9c9d-4291-88f5-cbdae5171fe6">
      <Url>https://share.bluecrossma.com/IT/1201/_layouts/15/DocIdRedir.aspx?ID=ITID-1458093970-848</Url>
      <Description>ITID-1458093970-848</Description>
    </_dlc_DocIdUrl>
  </documentManagement>
</p:properties>
</file>

<file path=customXml/itemProps1.xml><?xml version="1.0" encoding="utf-8"?>
<ds:datastoreItem xmlns:ds="http://schemas.openxmlformats.org/officeDocument/2006/customXml" ds:itemID="{46ACC288-C27B-42D7-A20C-148DB8B6DD58}">
  <ds:schemaRefs>
    <ds:schemaRef ds:uri="http://schemas.microsoft.com/sharepoint/events"/>
  </ds:schemaRefs>
</ds:datastoreItem>
</file>

<file path=customXml/itemProps2.xml><?xml version="1.0" encoding="utf-8"?>
<ds:datastoreItem xmlns:ds="http://schemas.openxmlformats.org/officeDocument/2006/customXml" ds:itemID="{4C3ACCF4-1338-4713-AA10-87E15CAF9DC4}">
  <ds:schemaRefs>
    <ds:schemaRef ds:uri="office.server.policy"/>
  </ds:schemaRefs>
</ds:datastoreItem>
</file>

<file path=customXml/itemProps3.xml><?xml version="1.0" encoding="utf-8"?>
<ds:datastoreItem xmlns:ds="http://schemas.openxmlformats.org/officeDocument/2006/customXml" ds:itemID="{3004B836-792E-4A1E-8123-B028B9FA6FFB}">
  <ds:schemaRefs>
    <ds:schemaRef ds:uri="Microsoft.SharePoint.Taxonomy.ContentTypeSync"/>
  </ds:schemaRefs>
</ds:datastoreItem>
</file>

<file path=customXml/itemProps4.xml><?xml version="1.0" encoding="utf-8"?>
<ds:datastoreItem xmlns:ds="http://schemas.openxmlformats.org/officeDocument/2006/customXml" ds:itemID="{029CF230-1BAF-4010-AC6D-92CCF8D392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9829bc0-9c9d-4291-88f5-cbdae5171f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6.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e9829bc0-9c9d-4291-88f5-cbdae5171fe6"/>
  </ds:schemaRefs>
</ds:datastoreItem>
</file>

<file path=docMetadata/LabelInfo.xml><?xml version="1.0" encoding="utf-8"?>
<clbl:labelList xmlns:clbl="http://schemas.microsoft.com/office/2020/mipLabelMetadata">
  <clbl:label id="{7f6a7d1e-1213-434b-981c-95c72d65f665}" enabled="0" method="" siteId="{7f6a7d1e-1213-434b-981c-95c72d65f66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Project schedule</vt:lpstr>
      <vt:lpstr>Definition</vt:lpstr>
      <vt:lpstr>2024Visual</vt:lpstr>
      <vt:lpstr>'Project schedule'!Print_Titles</vt:lpstr>
      <vt:lpstr>'Project schedule'!task_end</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Varahabhatla, Swathi</dc:creator>
  <cp:keywords/>
  <dc:description/>
  <cp:lastModifiedBy>Varahabhatla, Swathi</cp:lastModifiedBy>
  <cp:revision/>
  <dcterms:created xsi:type="dcterms:W3CDTF">2022-03-11T22:41:12Z</dcterms:created>
  <dcterms:modified xsi:type="dcterms:W3CDTF">2026-10-11T02:31:31Z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0x0101000035737AB6083049AA462DE1D83AFD48010021888D9E6B321A45999B9582E7987E11</vt:lpwstr>
  </property>
  <property fmtid="{D5CDD505-2E9C-101B-9397-08002B2CF9AE}" pid="3" name="MediaServiceImageTags">
    <vt:lpwstr/>
  </property>
  <property fmtid="{D5CDD505-2E9C-101B-9397-08002B2CF9AE}" pid="4" name="_dlc_policyId">
    <vt:lpwstr/>
  </property>
  <property fmtid="{D5CDD505-2E9C-101B-9397-08002B2CF9AE}" pid="5" name="ItemRetentionFormula">
    <vt:lpwstr/>
  </property>
  <property fmtid="{D5CDD505-2E9C-101B-9397-08002B2CF9AE}" pid="6" name="_dlc_DocIdItemGuid">
    <vt:lpwstr>d45d4d42-9b45-4405-b286-3e6bb3022222</vt:lpwstr>
  </property>
</Properties>
</file>